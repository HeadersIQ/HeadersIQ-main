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0882194_student_curtin_edu_au/Documents/Documents/Android Meus Documentos/PhD/FINAL THESIS/THESIS CODES/"/>
    </mc:Choice>
  </mc:AlternateContent>
  <xr:revisionPtr revIDLastSave="142" documentId="11_6AF9B0B7D3B057038F192E11595ED87656CCC3D0" xr6:coauthVersionLast="47" xr6:coauthVersionMax="47" xr10:uidLastSave="{2C61C269-6635-47CB-9B2D-B6E00CEC9CD2}"/>
  <bookViews>
    <workbookView xWindow="57480" yWindow="-3285" windowWidth="29040" windowHeight="15840" xr2:uid="{00000000-000D-0000-FFFF-FFFF00000000}"/>
  </bookViews>
  <sheets>
    <sheet name="Sheet1" sheetId="1" r:id="rId1"/>
    <sheet name="Sheet1 (2)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3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2" i="1"/>
  <c r="D78" i="3"/>
  <c r="D77" i="3"/>
  <c r="F77" i="3"/>
  <c r="I76" i="3"/>
  <c r="J69" i="2"/>
  <c r="J65" i="2"/>
  <c r="G77" i="3" l="1"/>
  <c r="F78" i="3"/>
  <c r="G78" i="3" s="1"/>
  <c r="F80" i="3"/>
  <c r="G80" i="3" s="1"/>
  <c r="F81" i="3" l="1"/>
  <c r="G81" i="3" s="1"/>
</calcChain>
</file>

<file path=xl/sharedStrings.xml><?xml version="1.0" encoding="utf-8"?>
<sst xmlns="http://schemas.openxmlformats.org/spreadsheetml/2006/main" count="1876" uniqueCount="341">
  <si>
    <t>Original Column</t>
  </si>
  <si>
    <t>Cleaned Column</t>
  </si>
  <si>
    <t>GT DBpediaType</t>
  </si>
  <si>
    <t>Model DBpediaType</t>
  </si>
  <si>
    <t>Model DBpediaTop5</t>
  </si>
  <si>
    <t>Top1?</t>
  </si>
  <si>
    <t>Top5?</t>
  </si>
  <si>
    <t>1.  ALT(m)</t>
  </si>
  <si>
    <t>ALT(m)</t>
  </si>
  <si>
    <t>http://dbpedia.org/ontology/elevation</t>
  </si>
  <si>
    <t>http://dbpedia.org/ontology/altitude</t>
  </si>
  <si>
    <t>2.  Endroit</t>
  </si>
  <si>
    <t>Endroit</t>
  </si>
  <si>
    <t>http://dbpedia.org/ontology/region</t>
  </si>
  <si>
    <t>Nil</t>
  </si>
  <si>
    <t>['http://dbpedia.org/ontology/end', 'http://dbpedia.org/ontology/unNumber', 'http://dbpedia.org/ontology/superFamily', 'http://dbpedia.org/ontology/superTribus', 'http://dbpedia.org/ontology/ist']</t>
  </si>
  <si>
    <t>3.  AUReleaseDate</t>
  </si>
  <si>
    <t>AUReleaseDate</t>
  </si>
  <si>
    <t>http://dbpedia.org/ontology/releaseDate</t>
  </si>
  <si>
    <t>['http://dbpedia.org/ontology/releaseDate', 'http://dbpedia.org/ontology/date', 'http://dbpedia.org/ontology/introductionDate', 'http://dbpedia.org/ontology/dateConstruction', 'http://dbpedia.org/ontology/publicationDate']</t>
  </si>
  <si>
    <t>4.  EUReleaseDate</t>
  </si>
  <si>
    <t>EUReleaseDate</t>
  </si>
  <si>
    <t>['http://dbpedia.org/ontology/releaseDate', 'http://dbpedia.org/ontology/date', 'http://dbpedia.org/ontology/introductionDate', 'http://dbpedia.org/ontology/dateConstruction', 'http://dbpedia.org/ontology/completionDate']</t>
  </si>
  <si>
    <t>5.  Publisher</t>
  </si>
  <si>
    <t>Publisher</t>
  </si>
  <si>
    <t>http://dbpedia.org/ontology/publisher</t>
  </si>
  <si>
    <t>['http://dbpedia.org/ontology/publisher', 'http://dbpedia.org/ontology/firstPublisher', 'http://dbpedia.org/ontology/author', 'http://dbpedia.org/ontology/publication', 'http://dbpedia.org/ontology/editor']</t>
  </si>
  <si>
    <t>6.  Address</t>
  </si>
  <si>
    <t>Address</t>
  </si>
  <si>
    <t>http://dbpedia.org/ontology/address</t>
  </si>
  <si>
    <t>['http://dbpedia.org/ontology/address', 'http://dbpedia.org/ontology/presentName', 'http://dbpedia.org/ontology/informationName', 'http://dbpedia.org/ontology/locationName', 'http://dbpedia.org/ontology/internationalPhonePrefixLabel']</t>
  </si>
  <si>
    <t>7.  Format</t>
  </si>
  <si>
    <t>Format</t>
  </si>
  <si>
    <t>http://dbpedia.org/ontology/programmeFormat</t>
  </si>
  <si>
    <t>http://dbpedia.org/ontology/format</t>
  </si>
  <si>
    <t>['http://dbpedia.org/ontology/format', 'http://dbpedia.org/ontology/programmeFormat', 'http://dbpedia.org/ontology/pictureFormat', 'http://dbpedia.org/ontology/musicFormat', 'http://dbpedia.org/ontology/fileSize']</t>
  </si>
  <si>
    <t>8.  CurrencyCode</t>
  </si>
  <si>
    <t>CurrencyCode</t>
  </si>
  <si>
    <t>http://dbpedia.org/ontology/currencyCode</t>
  </si>
  <si>
    <t>['http://dbpedia.org/ontology/currencyCode', 'http://dbpedia.org/ontology/code', 'http://dbpedia.org/ontology/languageCode', 'http://dbpedia.org/ontology/countryCode', 'http://dbpedia.org/ontology/codeSettlement']</t>
  </si>
  <si>
    <t>9.  HEIGHTINMETERS</t>
  </si>
  <si>
    <t>HEIGHTINMETERS</t>
  </si>
  <si>
    <t>http://dbpedia.org/ontology/height</t>
  </si>
  <si>
    <t>['http://dbpedia.org/ontology/height', 'http://dbpedia.org/ontology/oldcode', 'http://dbpedia.org/ontology/refseqprotein', 'http://dbpedia.org/ontology/entrezgene', 'http://dbpedia.org/ontology/refseqmrna']</t>
  </si>
  <si>
    <t>10.  Director</t>
  </si>
  <si>
    <t>Director</t>
  </si>
  <si>
    <t>http://dbpedia.org/ontology/director</t>
  </si>
  <si>
    <t>['http://dbpedia.org/ontology/director', 'http://dbpedia.org/ontology/creativeDirector', 'http://dbpedia.org/ontology/executiveProducer', 'http://dbpedia.org/ontology/chiefEditor', 'http://dbpedia.org/ontology/chairman']</t>
  </si>
  <si>
    <t>11.  Artist</t>
  </si>
  <si>
    <t>Artist</t>
  </si>
  <si>
    <t>http://dbpedia.org/ontology/artist</t>
  </si>
  <si>
    <t>['http://dbpedia.org/ontology/artist', 'http://dbpedia.org/ontology/musicalArtist', 'http://dbpedia.org/ontology/associatedMusicalArtist', 'http://dbpedia.org/ontology/makeupArtist', 'http://dbpedia.org/ontology/coverArtist']</t>
  </si>
  <si>
    <t>12.  Height(ft)</t>
  </si>
  <si>
    <t>Height(ft)</t>
  </si>
  <si>
    <t>['http://dbpedia.org/ontology/height', 'http://dbpedia.org/ontology/heightAgainst', 'http://dbpedia.org/ontology/heightAttack', 'http://dbpedia.org/ontology/towerHeight', 'http://dbpedia.org/ontology/heightAboveAverageTerrain']</t>
  </si>
  <si>
    <t>13.  State</t>
  </si>
  <si>
    <t>State</t>
  </si>
  <si>
    <t>http://dbpedia.org/ontology/location</t>
  </si>
  <si>
    <t>http://dbpedia.org/ontology/state</t>
  </si>
  <si>
    <t>['http://dbpedia.org/ontology/state', 'http://dbpedia.org/ontology/federalState', 'http://dbpedia.org/ontology/stateDelegate', 'http://dbpedia.org/ontology/highestState', 'http://dbpedia.org/ontology/sourceState']</t>
  </si>
  <si>
    <t>14.  State/Province</t>
  </si>
  <si>
    <t>State/Province</t>
  </si>
  <si>
    <t>15.  Year</t>
  </si>
  <si>
    <t>Year</t>
  </si>
  <si>
    <t>http://dbpedia.org/ontology/year</t>
  </si>
  <si>
    <t>['http://dbpedia.org/ontology/year', 'http://dbpedia.org/ontology/rebuildingYear', 'http://dbpedia.org/ontology/formationYear', 'http://dbpedia.org/ontology/selectionYear', 'http://dbpedia.org/ontology/dissolutionYear']</t>
  </si>
  <si>
    <t>16.  Developer</t>
  </si>
  <si>
    <t>Developer</t>
  </si>
  <si>
    <t>http://dbpedia.org/ontology/developer</t>
  </si>
  <si>
    <t>['http://dbpedia.org/ontology/developer', 'http://dbpedia.org/ontology/architect', 'http://dbpedia.org/ontology/designer', 'http://dbpedia.org/ontology/builder', 'http://dbpedia.org/ontology/engineer']</t>
  </si>
  <si>
    <t>17.  Label</t>
  </si>
  <si>
    <t>Label</t>
  </si>
  <si>
    <t>http://dbpedia.org/ontology/distributingLabel</t>
  </si>
  <si>
    <t>['http://dbpedia.org/ontology/distributingLabel', 'http://dbpedia.org/ontology/websiteLabel', 'http://dbpedia.org/ontology/recordLabel', 'http://dbpedia.org/ontology/statisticLabel', 'http://dbpedia.org/ontology/licenceNumberLabel']</t>
  </si>
  <si>
    <t>18.  Publisher</t>
  </si>
  <si>
    <t>19.  Cost</t>
  </si>
  <si>
    <t>Cost</t>
  </si>
  <si>
    <t>http://dbpedia.org/ontology/cost</t>
  </si>
  <si>
    <t>['http://dbpedia.org/ontology/cost', 'http://dbpedia.org/ontology/programCost', 'http://dbpedia.org/ontology/unitCost', 'http://dbpedia.org/ontology/price', 'http://dbpedia.org/ontology/projectBudgetTotal']</t>
  </si>
  <si>
    <t>20.  Europe</t>
  </si>
  <si>
    <t>Europe</t>
  </si>
  <si>
    <t>['http://dbpedia.org/ontology/asiaChampionship', 'http://dbpedia.org/ontology/europeanChampionship', 'http://dbpedia.org/ontology/europeanAffiliation', 'http://dbpedia.org/ontology/qatarClassic', 'http://dbpedia.org/ontology/europeanParliamentGroup']</t>
  </si>
  <si>
    <t>21.  Japan</t>
  </si>
  <si>
    <t>Japan</t>
  </si>
  <si>
    <t>['http://dbpedia.org/ontology/asiaChampionship', 'http://dbpedia.org/ontology/europeanChampionship', 'http://dbpedia.org/ontology/qatarClassic', 'http://dbpedia.org/ontology/europeanAffiliation', 'http://dbpedia.org/ontology/seiyu']</t>
  </si>
  <si>
    <t>22.  NorthAmerica</t>
  </si>
  <si>
    <t>NorthAmerica</t>
  </si>
  <si>
    <t>http://dbpedia.org/ontology/northWestPlace</t>
  </si>
  <si>
    <t>['http://dbpedia.org/ontology/northWestPlace', 'http://dbpedia.org/ontology/southWestPlace', 'http://dbpedia.org/ontology/northEastPlace', 'http://dbpedia.org/ontology/southEastPlace', 'http://dbpedia.org/ontology/westPlace']</t>
  </si>
  <si>
    <t>23.  Publisher</t>
  </si>
  <si>
    <t>24.  Size</t>
  </si>
  <si>
    <t>Size</t>
  </si>
  <si>
    <t>http://dbpedia.org/ontology/fileSize</t>
  </si>
  <si>
    <t>http://dbpedia.org/ontology/collectionSize</t>
  </si>
  <si>
    <t>['http://dbpedia.org/ontology/collectionSize', 'http://dbpedia.org/ontology/sizeThumbnail', 'http://dbpedia.org/ontology/clothingSize', 'http://dbpedia.org/ontology/servingSize', 'http://dbpedia.org/ontology/imageSize']</t>
  </si>
  <si>
    <t>25.  System</t>
  </si>
  <si>
    <t>System</t>
  </si>
  <si>
    <t>http://dbpedia.org/ontology/computingPlatform</t>
  </si>
  <si>
    <t>http://dbpedia.org/ontology/systemRequirements</t>
  </si>
  <si>
    <t>['http://dbpedia.org/ontology/systemRequirements', 'http://dbpedia.org/ontology/operatingSystem', 'http://dbpedia.org/ontology/educationSystem', 'http://dbpedia.org/ontology/structuralSystem', 'http://dbpedia.org/ontology/coolingSystem']</t>
  </si>
  <si>
    <t>26.  Year</t>
  </si>
  <si>
    <t>27.  Director(s)</t>
  </si>
  <si>
    <t>Director(s)</t>
  </si>
  <si>
    <t>28.  Year</t>
  </si>
  <si>
    <t>29.  ALPHABETICCODE</t>
  </si>
  <si>
    <t>ALPHABETICCODE</t>
  </si>
  <si>
    <t>http://dbpedia.org/ontology/code</t>
  </si>
  <si>
    <t>['http://dbpedia.org/ontology/code', 'http://dbpedia.org/ontology/refseqmrna', 'http://dbpedia.org/ontology/radius_ly', 'http://dbpedia.org/ontology/oldcode', 'http://dbpedia.org/ontology/entrezgene']</t>
  </si>
  <si>
    <t>30.  NUMERICCODE</t>
  </si>
  <si>
    <t>NUMERICCODE</t>
  </si>
  <si>
    <t>['http://dbpedia.org/ontology/code', 'http://dbpedia.org/ontology/entrezgene', 'http://dbpedia.org/ontology/oldcode', 'http://dbpedia.org/ontology/comitat', 'http://dbpedia.org/ontology/drugbank']</t>
  </si>
  <si>
    <t>31.  Genre</t>
  </si>
  <si>
    <t>Genre</t>
  </si>
  <si>
    <t>http://dbpedia.org/ontology/genre</t>
  </si>
  <si>
    <t>['http://dbpedia.org/ontology/genre', 'http://dbpedia.org/ontology/literaryGenre', 'http://dbpedia.org/ontology/musicFusionGenre', 'http://dbpedia.org/ontology/cyclistGenre', 'http://dbpedia.org/ontology/musicSubgenre']</t>
  </si>
  <si>
    <t>32.  Platform(s)</t>
  </si>
  <si>
    <t>Platform(s)</t>
  </si>
  <si>
    <t>['http://dbpedia.org/ontology/computingPlatform', 'http://dbpedia.org/ontology/automobilePlatform', 'http://dbpedia.org/ontology/railwayPlatforms', 'http://dbpedia.org/ontology/launchSite', 'http://dbpedia.org/ontology/serviceModule']</t>
  </si>
  <si>
    <t>33.  Year</t>
  </si>
  <si>
    <t>34.  Developer(s)</t>
  </si>
  <si>
    <t>Developer(s)</t>
  </si>
  <si>
    <t>35.  Genre</t>
  </si>
  <si>
    <t>36.  Platform(s)</t>
  </si>
  <si>
    <t>37.  Year</t>
  </si>
  <si>
    <t>38.  Developer(s)</t>
  </si>
  <si>
    <t>39.  Genre</t>
  </si>
  <si>
    <t>40.  Platform(s)</t>
  </si>
  <si>
    <t>41.  Year</t>
  </si>
  <si>
    <t>42.  Developer(s)</t>
  </si>
  <si>
    <t>43.  Genre</t>
  </si>
  <si>
    <t>44.  Platform(s)</t>
  </si>
  <si>
    <t>45.  Year</t>
  </si>
  <si>
    <t>46.  Year</t>
  </si>
  <si>
    <t>47.  Stadt</t>
  </si>
  <si>
    <t>Stadt</t>
  </si>
  <si>
    <t>['http://dbpedia.org/ontology/vonKlitzingConstant', 'http://dbpedia.org/ontology/ist', 'http://dbpedia.org/ontology/hof', 'http://dbpedia.org/ontology/collegeHof', 'http://dbpedia.org/ontology/mirDockings']</t>
  </si>
  <si>
    <t>48.  Director(s)</t>
  </si>
  <si>
    <t>49.  Year</t>
  </si>
  <si>
    <t>50.  Developer</t>
  </si>
  <si>
    <t>51.  Platform</t>
  </si>
  <si>
    <t>Platform</t>
  </si>
  <si>
    <t>52.  Director(s)</t>
  </si>
  <si>
    <t>53.  Year</t>
  </si>
  <si>
    <t>54.  H?he</t>
  </si>
  <si>
    <t>H?he</t>
  </si>
  <si>
    <t>['http://dbpedia.org/ontology/radius_ly', 'http://dbpedia.org/ontology/refseqprotein', 'http://dbpedia.org/ontology/entrezgene', 'http://dbpedia.org/ontology/longtype', 'http://dbpedia.org/ontology/escalafon']</t>
  </si>
  <si>
    <t>55.  Address</t>
  </si>
  <si>
    <t>56.  Director</t>
  </si>
  <si>
    <t>57.  Year</t>
  </si>
  <si>
    <t>58.  Director</t>
  </si>
  <si>
    <t>59.  Rel.</t>
  </si>
  <si>
    <t>Rel.</t>
  </si>
  <si>
    <t>['http://dbpedia.org/ontology/viafId', 'http://dbpedia.org/ontology/lccnId', 'http://dbpedia.org/ontology/bnfId', 'http://dbpedia.org/ontology/eurobabeIndexId', 'http://dbpedia.org/ontology/unitedStatesNationalBridgeId']</t>
  </si>
  <si>
    <t>60.  Assets($bil)</t>
  </si>
  <si>
    <t>Assets($bil)</t>
  </si>
  <si>
    <t>http://dbpedia.org/ontology/assets</t>
  </si>
  <si>
    <t>['http://dbpedia.org/ontology/assets', 'http://dbpedia.org/ontology/assetUnderManagement', 'http://dbpedia.org/ontology/portfolio', 'http://dbpedia.org/ontology/equity', 'http://dbpedia.org/ontology/operatingIncome']</t>
  </si>
  <si>
    <t>61.  Sales($bil)</t>
  </si>
  <si>
    <t>Sales($bil)</t>
  </si>
  <si>
    <t>http://dbpedia.org/ontology/sales</t>
  </si>
  <si>
    <t>['http://dbpedia.org/ontology/sales', 'http://dbpedia.org/ontology/revenue', 'http://dbpedia.org/ontology/productionCompany', 'http://dbpedia.org/ontology/revenueYear', 'http://dbpedia.org/ontology/startYearOfSales']</t>
  </si>
  <si>
    <t>62.  GrantingInstitution</t>
  </si>
  <si>
    <t>GrantingInstitution</t>
  </si>
  <si>
    <t>http://dbpedia.org/ontology/almaMater</t>
  </si>
  <si>
    <t>http://dbpedia.org/ontology/institution</t>
  </si>
  <si>
    <t>['http://dbpedia.org/ontology/institution', 'http://dbpedia.org/ontology/authorityMandate', 'http://dbpedia.org/ontology/establishment', 'http://dbpedia.org/ontology/authority', 'http://dbpedia.org/ontology/administrativeStatus']</t>
  </si>
  <si>
    <t>63.  Year</t>
  </si>
  <si>
    <t>64.  Publisher</t>
  </si>
  <si>
    <t>65.  Editeur</t>
  </si>
  <si>
    <t>Editeur</t>
  </si>
  <si>
    <t>http://dbpedia.org/ontology/owner</t>
  </si>
  <si>
    <t>['http://dbpedia.org/ontology/copilote', 'http://dbpedia.org/ontology/seniunija', 'http://dbpedia.org/ontology/entrezgene', 'http://dbpedia.org/ontology/comitat', 'http://dbpedia.org/ontology/landtag']</t>
  </si>
  <si>
    <t>66.  Rationale</t>
  </si>
  <si>
    <t>Rationale</t>
  </si>
  <si>
    <t>http://dbpedia.org/ontology/knownFor</t>
  </si>
  <si>
    <t>http://dbpedia.org/ontology/ratio</t>
  </si>
  <si>
    <t>['http://dbpedia.org/ontology/ra', 'http://dbpedia.org/ontology/purpose', 'http://dbpedia.org/ontology/notableIdea', 'http://dbpedia.org/ontology/motive', 'http://dbpedia.org/ontology/criteria']</t>
  </si>
  <si>
    <t>67.  Year</t>
  </si>
  <si>
    <t>68.  Genre</t>
  </si>
  <si>
    <t>69.  Platform</t>
  </si>
  <si>
    <t>70.  Release</t>
  </si>
  <si>
    <t>Release</t>
  </si>
  <si>
    <t>http://dbpedia.org/ontology/releaseLocation</t>
  </si>
  <si>
    <t>['http://dbpedia.org/ontology/releaseLocation', 'http://dbpedia.org/ontology/latestReleaseVersion', 'http://dbpedia.org/ontology/latestReleaseDate', 'http://dbpedia.org/ontology/releaseDate', 'http://dbpedia.org/ontology/firstLaunchDate']</t>
  </si>
  <si>
    <t>71.  Release</t>
  </si>
  <si>
    <t>72.  Genre</t>
  </si>
  <si>
    <t>73.  System</t>
  </si>
  <si>
    <t>74.  Alphabeticcode</t>
  </si>
  <si>
    <t>Alphabeticcode</t>
  </si>
  <si>
    <t>75.  Numericcode</t>
  </si>
  <si>
    <t>Numericcode</t>
  </si>
  <si>
    <t>76.  Symbol</t>
  </si>
  <si>
    <t>Symbol</t>
  </si>
  <si>
    <t>http://dbpedia.org/ontology/symbol</t>
  </si>
  <si>
    <t>['http://dbpedia.org/ontology/symbol', 'http://dbpedia.org/ontology/identificationSymbol', 'http://dbpedia.org/ontology/emblem', 'http://dbpedia.org/ontology/flagBearer', 'http://dbpedia.org/ontology/flagCaption']</t>
  </si>
  <si>
    <t>77.  Dioceses</t>
  </si>
  <si>
    <t>Dioceses</t>
  </si>
  <si>
    <t>http://dbpedia.org/ontology/diocese</t>
  </si>
  <si>
    <t>['http://dbpedia.org/ontology/diocese', 'http://dbpedia.org/ontology/eparchy', 'http://dbpedia.org/ontology/parish', 'http://dbpedia.org/ontology/bishopric', 'http://dbpedia.org/ontology/creationChristianBishop']</t>
  </si>
  <si>
    <t>78.  HEIGHTINMETERS</t>
  </si>
  <si>
    <t>79.  Director</t>
  </si>
  <si>
    <t>80.  Length</t>
  </si>
  <si>
    <t>Length</t>
  </si>
  <si>
    <t>http://dbpedia.org/ontology/duration</t>
  </si>
  <si>
    <t>http://dbpedia.org/ontology/length</t>
  </si>
  <si>
    <t>['http://dbpedia.org/ontology/length', 'http://dbpedia.org/ontology/lengthReference', 'http://dbpedia.org/ontology/frontierLength', 'http://dbpedia.org/ontology/circuitLength', 'http://dbpedia.org/ontology/trackLength']</t>
  </si>
  <si>
    <t>81.  Year</t>
  </si>
  <si>
    <t>82.  GDP</t>
  </si>
  <si>
    <t>GDP</t>
  </si>
  <si>
    <t>http://dbpedia.org/ontology/grossDomesticProduct</t>
  </si>
  <si>
    <t>http://dbpedia.org/ontology/gdpPerCapita</t>
  </si>
  <si>
    <t>['http://dbpedia.org/ontology/gdpPerCapita', 'http://dbpedia.org/ontology/giniCoefficientRanking', 'http://dbpedia.org/ontology/co2Emission', 'http://dbpedia.org/ontology/giniCoefficientCategory', 'http://dbpedia.org/ontology/giniCoefficient']</t>
  </si>
  <si>
    <t>83.  H?he</t>
  </si>
  <si>
    <t>84.  Stadt</t>
  </si>
  <si>
    <t>85.  Director</t>
  </si>
  <si>
    <t>86.  Year</t>
  </si>
  <si>
    <t>87.  Feets</t>
  </si>
  <si>
    <t>Feets</t>
  </si>
  <si>
    <t>['http://dbpedia.org/ontology/foot', 'http://dbpedia.org/ontology/penisLength', 'http://dbpedia.org/ontology/shoeSize', 'http://dbpedia.org/ontology/footedness', 'http://dbpedia.org/ontology/hairs']</t>
  </si>
  <si>
    <t>88.  Meters</t>
  </si>
  <si>
    <t>Meters</t>
  </si>
  <si>
    <t>['http://dbpedia.org/ontology/longDistancePisteKilometre', 'http://dbpedia.org/ontology/foot', 'http://dbpedia.org/ontology/towerHeight', 'http://dbpedia.org/ontology/distance', 'http://dbpedia.org/ontology/distanceLaps']</t>
  </si>
  <si>
    <t>89.  Alphabeticcode</t>
  </si>
  <si>
    <t>90.  Numericcode</t>
  </si>
  <si>
    <t>91.  Symbol</t>
  </si>
  <si>
    <t>92.  Europe</t>
  </si>
  <si>
    <t>93.  Genre</t>
  </si>
  <si>
    <t>94.  Japan</t>
  </si>
  <si>
    <t>95.  NorthAmerica</t>
  </si>
  <si>
    <t>96.  Platform</t>
  </si>
  <si>
    <t>97.  Publisher</t>
  </si>
  <si>
    <t>98.  Year</t>
  </si>
  <si>
    <t>99.  Year</t>
  </si>
  <si>
    <t>100.  Board</t>
  </si>
  <si>
    <t>Board</t>
  </si>
  <si>
    <t>http://dbpedia.org/ontology/board</t>
  </si>
  <si>
    <t>['http://dbpedia.org/ontology/board', 'http://dbpedia.org/ontology/schoolBoard', 'http://dbpedia.org/ontology/committee', 'http://dbpedia.org/ontology/chairman', 'http://dbpedia.org/ontology/crewMember']</t>
  </si>
  <si>
    <t>101.  Government</t>
  </si>
  <si>
    <t>Government</t>
  </si>
  <si>
    <t>http://dbpedia.org/ontology/governmentType</t>
  </si>
  <si>
    <t>http://dbpedia.org/ontology/government</t>
  </si>
  <si>
    <t>['http://dbpedia.org/ontology/government', 'http://dbpedia.org/ontology/militaryGovernment', 'http://dbpedia.org/ontology/governmentCountry', 'http://dbpedia.org/ontology/politicGovernmentDepartment', 'http://dbpedia.org/ontology/governmentPosition']</t>
  </si>
  <si>
    <t>102.  Languages</t>
  </si>
  <si>
    <t>Languages</t>
  </si>
  <si>
    <t>http://dbpedia.org/ontology/language</t>
  </si>
  <si>
    <t>['http://dbpedia.org/ontology/language', 'http://dbpedia.org/ontology/age', 'http://dbpedia.org/ontology/programmingLanguage', 'http://dbpedia.org/ontology/regionalLanguage', 'http://dbpedia.org/ontology/otherLanguage']</t>
  </si>
  <si>
    <t>103.  Government</t>
  </si>
  <si>
    <t>104.  Languages</t>
  </si>
  <si>
    <t>105.  Government</t>
  </si>
  <si>
    <t>106.  Languages</t>
  </si>
  <si>
    <t>107.  8.848</t>
  </si>
  <si>
    <t>8.848</t>
  </si>
  <si>
    <t>['http://dbpedia.org/ontology/winsAtSenEuro', 'http://dbpedia.org/ontology/winsAtAlpg', 'http://dbpedia.org/ontology/winsAtKLPGA', 'http://dbpedia.org/ontology/winsAtAus', 'http://dbpedia.org/ontology/winsAtLAGT']</t>
  </si>
  <si>
    <t>108.  watergauge</t>
  </si>
  <si>
    <t>watergauge</t>
  </si>
  <si>
    <t>http://dbpedia.org/ontology/water</t>
  </si>
  <si>
    <t>['http://dbpedia.org/ontology/water', 'http://dbpedia.org/ontology/radius_ly', 'http://dbpedia.org/ontology/entrezgene', 'http://dbpedia.org/ontology/refseqprotein', 'http://dbpedia.org/ontology/apofocus']</t>
  </si>
  <si>
    <t>109.  Publisher</t>
  </si>
  <si>
    <t>110.  Director(s)</t>
  </si>
  <si>
    <t>111.  Released</t>
  </si>
  <si>
    <t>Released</t>
  </si>
  <si>
    <t>['http://dbpedia.org/ontology/latestReleaseVersion', 'http://dbpedia.org/ontology/releaseLocation', 'http://dbpedia.org/ontology/latestReleaseDate', 'http://dbpedia.org/ontology/releaseDate', 'http://dbpedia.org/ontology/debut']</t>
  </si>
  <si>
    <t>112.  Developer(s)</t>
  </si>
  <si>
    <t>113.  Publisher(s)</t>
  </si>
  <si>
    <t>Publisher(s)</t>
  </si>
  <si>
    <t>114.  ReleaseDate</t>
  </si>
  <si>
    <t>ReleaseDate</t>
  </si>
  <si>
    <t>['http://dbpedia.org/ontology/releaseDate', 'http://dbpedia.org/ontology/latestReleaseDate', 'http://dbpedia.org/ontology/date', 'http://dbpedia.org/ontology/publicationDate', 'http://dbpedia.org/ontology/introductionDate']</t>
  </si>
  <si>
    <t>115.  Director(s)</t>
  </si>
  <si>
    <t>116.  Year</t>
  </si>
  <si>
    <t>117.  State</t>
  </si>
  <si>
    <t>118.  Director(s)</t>
  </si>
  <si>
    <t>119.  Year</t>
  </si>
  <si>
    <t>120.  Max.-Tiefe-(m)</t>
  </si>
  <si>
    <t>Max.-Tiefe-(m)</t>
  </si>
  <si>
    <t>http://dbpedia.org/ontology/depth</t>
  </si>
  <si>
    <t>http://dbpedia.org/ontology/max</t>
  </si>
  <si>
    <t>['http://dbpedia.org/ontology/max', 'http://dbpedia.org/ontology/maxApparentMagnitude', 'http://dbpedia.org/ontology/maxAbsoluteMagnitude', 'http://dbpedia.org/ontology/maxTime', 'http://dbpedia.org/ontology/maximumElevation']</t>
  </si>
  <si>
    <t>121.  Staat(en)</t>
  </si>
  <si>
    <t>Staat(en)</t>
  </si>
  <si>
    <t>http://dbpedia.org/ontology/country</t>
  </si>
  <si>
    <t>['http://dbpedia.org/ontology/deFactoLanguage', 'http://dbpedia.org/ontology/millsCodeNLVerdwenen', 'http://dbpedia.org/ontology/millsCodeNLWindmotoren', 'http://dbpedia.org/ontology/millsCodeNL', 'http://dbpedia.org/ontology/dutchWinkelID']</t>
  </si>
  <si>
    <t>122.  GDPnominal(US$M)</t>
  </si>
  <si>
    <t>GDPnominal(US$M)</t>
  </si>
  <si>
    <t>['http://dbpedia.org/ontology/min', 'http://dbpedia.org/ontology/drugbank', 'http://dbpedia.org/ontology/oldcode', 'http://dbpedia.org/ontology/entrezgene', 'http://dbpedia.org/ontology/pubchem']</t>
  </si>
  <si>
    <t>123.  Government</t>
  </si>
  <si>
    <t>124.  Landarea</t>
  </si>
  <si>
    <t>Landarea</t>
  </si>
  <si>
    <t>http://dbpedia.org/ontology/area</t>
  </si>
  <si>
    <t>['http://dbpedia.org/ontology/landArea', 'http://dbpedia.org/ontology/area', 'http://dbpedia.org/ontology/landtag', 'http://dbpedia.org/ontology/drugbank', 'http://dbpedia.org/ontology/entrezgene']</t>
  </si>
  <si>
    <t>125.  1T</t>
  </si>
  <si>
    <t>1T</t>
  </si>
  <si>
    <t>http://dbpedia.org/ontology/iataAirlineCode</t>
  </si>
  <si>
    <t>['http://dbpedia.org/ontology/uRN', 'http://dbpedia.org/ontology/dfE', 'http://dbpedia.org/ontology/fc', 'http://dbpedia.org/ontology/fcRuns', 'http://dbpedia.org/ontology/woRMS']</t>
  </si>
  <si>
    <t>126.  Year</t>
  </si>
  <si>
    <t>127.  Continent</t>
  </si>
  <si>
    <t>Continent</t>
  </si>
  <si>
    <t>http://dbpedia.org/ontology/continent</t>
  </si>
  <si>
    <t>['http://dbpedia.org/ontology/continent', 'http://dbpedia.org/ontology/country', 'http://dbpedia.org/ontology/world', 'http://dbpedia.org/ontology/sovereignCountry', 'http://dbpedia.org/ontology/worldTournament']</t>
  </si>
  <si>
    <t>128.  ISO(2)</t>
  </si>
  <si>
    <t>ISO(2)</t>
  </si>
  <si>
    <t>http://dbpedia.org/ontology/iso31661Code</t>
  </si>
  <si>
    <t>http://dbpedia.org/ontology/isoCode</t>
  </si>
  <si>
    <t>['http://dbpedia.org/ontology/isoCode', 'http://dbpedia.org/ontology/communityIsoCode', 'http://dbpedia.org/ontology/provinceIsoCode', 'http://dbpedia.org/ontology/isoCodeRegion', 'http://dbpedia.org/ontology/ngcName']</t>
  </si>
  <si>
    <t>129.  ISO(3)</t>
  </si>
  <si>
    <t>ISO(3)</t>
  </si>
  <si>
    <t>130.  Ashton-under-Lyne</t>
  </si>
  <si>
    <t>Ashton-under-Lyne</t>
  </si>
  <si>
    <t>['http://dbpedia.org/ontology/laurenceOlivierAward', 'http://dbpedia.org/ontology/nameInWadeGilesChinese', 'http://dbpedia.org/ontology/rolandGarrosDouble', 'http://dbpedia.org/ontology/rolandGarrosSingle', 'http://dbpedia.org/ontology/tonyAward']</t>
  </si>
  <si>
    <t>131.  Height(Ft)</t>
  </si>
  <si>
    <t>Height(Ft)</t>
  </si>
  <si>
    <t>132.  Height(m)</t>
  </si>
  <si>
    <t>Height(m)</t>
  </si>
  <si>
    <t>133.  System</t>
  </si>
  <si>
    <t>134.  GNI</t>
  </si>
  <si>
    <t>GNI</t>
  </si>
  <si>
    <t>http://dbpedia.org/ontology/giniCoefficient</t>
  </si>
  <si>
    <t>['http://dbpedia.org/ontology/uRN', 'http://dbpedia.org/ontology/ra', 'http://dbpedia.org/ontology/woRMS', 'http://dbpedia.org/ontology/cmpEvaDuration', 'http://dbpedia.org/ontology/dutchNAIdentifier']</t>
  </si>
  <si>
    <t>135.  Founders</t>
  </si>
  <si>
    <t>Founders</t>
  </si>
  <si>
    <t>http://dbpedia.org/ontology/founder</t>
  </si>
  <si>
    <t>['http://dbpedia.org/ontology/founder', 'http://dbpedia.org/ontology/creator', 'http://dbpedia.org/ontology/chairman', 'http://dbpedia.org/ontology/company', 'http://dbpedia.org/ontology/president']</t>
  </si>
  <si>
    <t>136.  State</t>
  </si>
  <si>
    <t>137.  Alphabeticcode</t>
  </si>
  <si>
    <t>138.  Numericcode</t>
  </si>
  <si>
    <t>139.  Symbol</t>
  </si>
  <si>
    <t>140.  Spouse</t>
  </si>
  <si>
    <t>Spouse</t>
  </si>
  <si>
    <t>http://dbpedia.org/ontology/spouse</t>
  </si>
  <si>
    <t>['http://dbpedia.org/ontology/spouse', 'http://dbpedia.org/ontology/spouseName', 'http://dbpedia.org/ontology/daughter', 'http://dbpedia.org/ontology/partner', 'http://dbpedia.org/ontology/formerPartner']</t>
  </si>
  <si>
    <t>141.  Basincountries</t>
  </si>
  <si>
    <t>Basincountries</t>
  </si>
  <si>
    <t>['http://dbpedia.org/ontology/refseqprotein', 'http://dbpedia.org/ontology/entrezgene', 'http://dbpedia.org/ontology/refseqmrna', 'http://dbpedia.org/ontology/drugbank', 'http://dbpedia.org/ontology/copilote']</t>
  </si>
  <si>
    <t>SUMMARY</t>
  </si>
  <si>
    <t>Top1: 63/141 (44.68%)</t>
  </si>
  <si>
    <t>Top5: 67/141 (47.52%)</t>
  </si>
  <si>
    <t>['http://dbpedia.org/ontology/altitude','http://dbpedia.org/ontology/thumbnailCaption', 'http://dbpedia.org/ontology/localizationThumbnailCaption', 'http://dbpedia.org/ontology/wikiPageID', 'http://dbpedia.org/ontology/mapCaption']</t>
  </si>
  <si>
    <t>correct</t>
  </si>
  <si>
    <t>appropriate</t>
  </si>
  <si>
    <t>wrong</t>
  </si>
  <si>
    <t>Our result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</si>
</sst>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2" borderId="0" xfId="0" applyFill="1"/>
    <xf numFmtId="0" fontId="0" fillId="3" borderId="0" xfId="0" applyFill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dbpedia.org/ontology/northWestPla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dbpedia.org/ontology/distributingL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tabSelected="1" workbookViewId="0">
      <selection activeCell="J144" sqref="J144"/>
    </sheetView>
  </sheetViews>
  <sheetFormatPr defaultRowHeight="14.5" x14ac:dyDescent="0.35"/>
  <cols>
    <col min="1" max="1" width="21" customWidth="1"/>
    <col min="2" max="2" width="20.7265625" customWidth="1"/>
    <col min="3" max="4" width="44.36328125" customWidth="1"/>
    <col min="5" max="5" width="85.26953125" customWidth="1"/>
    <col min="10" max="10" width="5" customWidth="1"/>
    <col min="11" max="11" width="5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5">
      <c r="A2" t="s">
        <v>7</v>
      </c>
      <c r="B2" t="s">
        <v>8</v>
      </c>
      <c r="C2" t="s">
        <v>9</v>
      </c>
      <c r="D2" t="s">
        <v>10</v>
      </c>
      <c r="E2" t="s">
        <v>336</v>
      </c>
      <c r="F2" t="b">
        <v>1</v>
      </c>
      <c r="G2" t="b">
        <v>1</v>
      </c>
      <c r="H2" t="b">
        <f>C2=D2</f>
        <v>0</v>
      </c>
      <c r="I2" t="b">
        <f>F2=H2</f>
        <v>0</v>
      </c>
      <c r="J2">
        <f>IF(F2,1,0)</f>
        <v>1</v>
      </c>
    </row>
    <row r="3" spans="1:10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b">
        <v>0</v>
      </c>
      <c r="G3" t="b">
        <v>0</v>
      </c>
      <c r="H3" t="b">
        <f t="shared" ref="H3:H66" si="0">C3=D3</f>
        <v>0</v>
      </c>
      <c r="I3" t="b">
        <f t="shared" ref="I3:I66" si="1">F3=H3</f>
        <v>1</v>
      </c>
      <c r="J3">
        <f t="shared" ref="J3:J66" si="2">IF(F3,1,0)</f>
        <v>0</v>
      </c>
    </row>
    <row r="4" spans="1:10" x14ac:dyDescent="0.35">
      <c r="A4" t="s">
        <v>16</v>
      </c>
      <c r="B4" t="s">
        <v>17</v>
      </c>
      <c r="C4" t="s">
        <v>18</v>
      </c>
      <c r="D4" t="s">
        <v>18</v>
      </c>
      <c r="E4" t="s">
        <v>19</v>
      </c>
      <c r="F4" t="b">
        <v>1</v>
      </c>
      <c r="G4" t="b">
        <v>1</v>
      </c>
      <c r="H4" t="b">
        <f t="shared" si="0"/>
        <v>1</v>
      </c>
      <c r="I4" t="b">
        <f t="shared" si="1"/>
        <v>1</v>
      </c>
      <c r="J4">
        <f t="shared" si="2"/>
        <v>1</v>
      </c>
    </row>
    <row r="5" spans="1:10" x14ac:dyDescent="0.35">
      <c r="A5" t="s">
        <v>20</v>
      </c>
      <c r="B5" t="s">
        <v>21</v>
      </c>
      <c r="C5" t="s">
        <v>18</v>
      </c>
      <c r="D5" t="s">
        <v>18</v>
      </c>
      <c r="E5" t="s">
        <v>22</v>
      </c>
      <c r="F5" t="b">
        <v>1</v>
      </c>
      <c r="G5" t="b">
        <v>1</v>
      </c>
      <c r="H5" t="b">
        <f t="shared" si="0"/>
        <v>1</v>
      </c>
      <c r="I5" t="b">
        <f t="shared" si="1"/>
        <v>1</v>
      </c>
      <c r="J5">
        <f t="shared" si="2"/>
        <v>1</v>
      </c>
    </row>
    <row r="6" spans="1:10" x14ac:dyDescent="0.35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b">
        <v>1</v>
      </c>
      <c r="G6" t="b">
        <v>1</v>
      </c>
      <c r="H6" t="b">
        <f t="shared" si="0"/>
        <v>1</v>
      </c>
      <c r="I6" t="b">
        <f t="shared" si="1"/>
        <v>1</v>
      </c>
      <c r="J6">
        <f t="shared" si="2"/>
        <v>1</v>
      </c>
    </row>
    <row r="7" spans="1:10" x14ac:dyDescent="0.35">
      <c r="A7" t="s">
        <v>27</v>
      </c>
      <c r="B7" t="s">
        <v>28</v>
      </c>
      <c r="C7" t="s">
        <v>29</v>
      </c>
      <c r="D7" t="s">
        <v>29</v>
      </c>
      <c r="E7" t="s">
        <v>30</v>
      </c>
      <c r="F7" t="b">
        <v>1</v>
      </c>
      <c r="G7" t="b">
        <v>1</v>
      </c>
      <c r="H7" t="b">
        <f t="shared" si="0"/>
        <v>1</v>
      </c>
      <c r="I7" t="b">
        <f t="shared" si="1"/>
        <v>1</v>
      </c>
      <c r="J7">
        <f t="shared" si="2"/>
        <v>1</v>
      </c>
    </row>
    <row r="8" spans="1:10" x14ac:dyDescent="0.3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b">
        <v>0</v>
      </c>
      <c r="G8" t="b">
        <v>1</v>
      </c>
      <c r="H8" t="b">
        <f t="shared" si="0"/>
        <v>0</v>
      </c>
      <c r="I8" t="b">
        <f t="shared" si="1"/>
        <v>1</v>
      </c>
      <c r="J8">
        <f t="shared" si="2"/>
        <v>0</v>
      </c>
    </row>
    <row r="9" spans="1:10" x14ac:dyDescent="0.35">
      <c r="A9" t="s">
        <v>36</v>
      </c>
      <c r="B9" t="s">
        <v>37</v>
      </c>
      <c r="C9" t="s">
        <v>38</v>
      </c>
      <c r="D9" t="s">
        <v>38</v>
      </c>
      <c r="E9" t="s">
        <v>39</v>
      </c>
      <c r="F9" t="b">
        <v>1</v>
      </c>
      <c r="G9" t="b">
        <v>1</v>
      </c>
      <c r="H9" t="b">
        <f t="shared" si="0"/>
        <v>1</v>
      </c>
      <c r="I9" t="b">
        <f t="shared" si="1"/>
        <v>1</v>
      </c>
      <c r="J9">
        <f t="shared" si="2"/>
        <v>1</v>
      </c>
    </row>
    <row r="10" spans="1:10" x14ac:dyDescent="0.35">
      <c r="A10" t="s">
        <v>40</v>
      </c>
      <c r="B10" t="s">
        <v>41</v>
      </c>
      <c r="C10" t="s">
        <v>9</v>
      </c>
      <c r="D10" t="s">
        <v>42</v>
      </c>
      <c r="E10" t="s">
        <v>43</v>
      </c>
      <c r="F10" t="b">
        <v>0</v>
      </c>
      <c r="G10" t="b">
        <v>0</v>
      </c>
      <c r="H10" t="b">
        <f t="shared" si="0"/>
        <v>0</v>
      </c>
      <c r="I10" t="b">
        <f t="shared" si="1"/>
        <v>1</v>
      </c>
      <c r="J10">
        <f t="shared" si="2"/>
        <v>0</v>
      </c>
    </row>
    <row r="11" spans="1:10" x14ac:dyDescent="0.35">
      <c r="A11" t="s">
        <v>44</v>
      </c>
      <c r="B11" t="s">
        <v>45</v>
      </c>
      <c r="C11" t="s">
        <v>46</v>
      </c>
      <c r="D11" t="s">
        <v>46</v>
      </c>
      <c r="E11" t="s">
        <v>47</v>
      </c>
      <c r="F11" t="b">
        <v>1</v>
      </c>
      <c r="G11" t="b">
        <v>1</v>
      </c>
      <c r="H11" t="b">
        <f t="shared" si="0"/>
        <v>1</v>
      </c>
      <c r="I11" t="b">
        <f t="shared" si="1"/>
        <v>1</v>
      </c>
      <c r="J11">
        <f t="shared" si="2"/>
        <v>1</v>
      </c>
    </row>
    <row r="12" spans="1:10" x14ac:dyDescent="0.35">
      <c r="A12" t="s">
        <v>48</v>
      </c>
      <c r="B12" t="s">
        <v>49</v>
      </c>
      <c r="C12" t="s">
        <v>50</v>
      </c>
      <c r="D12" t="s">
        <v>50</v>
      </c>
      <c r="E12" t="s">
        <v>51</v>
      </c>
      <c r="F12" t="b">
        <v>1</v>
      </c>
      <c r="G12" t="b">
        <v>1</v>
      </c>
      <c r="H12" t="b">
        <f t="shared" si="0"/>
        <v>1</v>
      </c>
      <c r="I12" t="b">
        <f t="shared" si="1"/>
        <v>1</v>
      </c>
      <c r="J12">
        <f t="shared" si="2"/>
        <v>1</v>
      </c>
    </row>
    <row r="13" spans="1:10" x14ac:dyDescent="0.35">
      <c r="A13" t="s">
        <v>52</v>
      </c>
      <c r="B13" t="s">
        <v>53</v>
      </c>
      <c r="C13" t="s">
        <v>9</v>
      </c>
      <c r="D13" t="s">
        <v>42</v>
      </c>
      <c r="E13" t="s">
        <v>54</v>
      </c>
      <c r="F13" t="b">
        <v>0</v>
      </c>
      <c r="G13" t="b">
        <v>0</v>
      </c>
      <c r="H13" t="b">
        <f t="shared" si="0"/>
        <v>0</v>
      </c>
      <c r="I13" t="b">
        <f t="shared" si="1"/>
        <v>1</v>
      </c>
      <c r="J13">
        <f t="shared" si="2"/>
        <v>0</v>
      </c>
    </row>
    <row r="14" spans="1:10" x14ac:dyDescent="0.35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b">
        <v>0</v>
      </c>
      <c r="G14" t="b">
        <v>0</v>
      </c>
      <c r="H14" t="b">
        <f t="shared" si="0"/>
        <v>0</v>
      </c>
      <c r="I14" t="b">
        <f t="shared" si="1"/>
        <v>1</v>
      </c>
      <c r="J14">
        <f t="shared" si="2"/>
        <v>0</v>
      </c>
    </row>
    <row r="15" spans="1:10" x14ac:dyDescent="0.35">
      <c r="A15" t="s">
        <v>60</v>
      </c>
      <c r="B15" t="s">
        <v>61</v>
      </c>
      <c r="C15" t="s">
        <v>57</v>
      </c>
      <c r="D15" t="s">
        <v>58</v>
      </c>
      <c r="E15" t="s">
        <v>59</v>
      </c>
      <c r="F15" t="b">
        <v>0</v>
      </c>
      <c r="G15" t="b">
        <v>0</v>
      </c>
      <c r="H15" t="b">
        <f t="shared" si="0"/>
        <v>0</v>
      </c>
      <c r="I15" t="b">
        <f t="shared" si="1"/>
        <v>1</v>
      </c>
      <c r="J15">
        <f t="shared" si="2"/>
        <v>0</v>
      </c>
    </row>
    <row r="16" spans="1:10" x14ac:dyDescent="0.35">
      <c r="A16" t="s">
        <v>62</v>
      </c>
      <c r="B16" t="s">
        <v>63</v>
      </c>
      <c r="C16" t="s">
        <v>18</v>
      </c>
      <c r="D16" t="s">
        <v>64</v>
      </c>
      <c r="E16" t="s">
        <v>65</v>
      </c>
      <c r="F16" t="b">
        <v>0</v>
      </c>
      <c r="G16" t="b">
        <v>0</v>
      </c>
      <c r="H16" t="b">
        <f t="shared" si="0"/>
        <v>0</v>
      </c>
      <c r="I16" t="b">
        <f t="shared" si="1"/>
        <v>1</v>
      </c>
      <c r="J16">
        <f t="shared" si="2"/>
        <v>0</v>
      </c>
    </row>
    <row r="17" spans="1:10" x14ac:dyDescent="0.35">
      <c r="A17" t="s">
        <v>66</v>
      </c>
      <c r="B17" t="s">
        <v>67</v>
      </c>
      <c r="C17" t="s">
        <v>68</v>
      </c>
      <c r="D17" t="s">
        <v>68</v>
      </c>
      <c r="E17" t="s">
        <v>69</v>
      </c>
      <c r="F17" t="b">
        <v>1</v>
      </c>
      <c r="G17" t="b">
        <v>1</v>
      </c>
      <c r="H17" t="b">
        <f t="shared" si="0"/>
        <v>1</v>
      </c>
      <c r="I17" t="b">
        <f t="shared" si="1"/>
        <v>1</v>
      </c>
      <c r="J17">
        <f t="shared" si="2"/>
        <v>1</v>
      </c>
    </row>
    <row r="18" spans="1:10" x14ac:dyDescent="0.35">
      <c r="A18" t="s">
        <v>70</v>
      </c>
      <c r="B18" t="s">
        <v>71</v>
      </c>
      <c r="C18" t="s">
        <v>68</v>
      </c>
      <c r="D18" t="s">
        <v>72</v>
      </c>
      <c r="E18" t="s">
        <v>73</v>
      </c>
      <c r="F18" t="b">
        <v>0</v>
      </c>
      <c r="G18" t="b">
        <v>0</v>
      </c>
      <c r="H18" t="b">
        <f t="shared" si="0"/>
        <v>0</v>
      </c>
      <c r="I18" t="b">
        <f t="shared" si="1"/>
        <v>1</v>
      </c>
      <c r="J18">
        <f t="shared" si="2"/>
        <v>0</v>
      </c>
    </row>
    <row r="19" spans="1:10" x14ac:dyDescent="0.35">
      <c r="A19" t="s">
        <v>74</v>
      </c>
      <c r="B19" t="s">
        <v>24</v>
      </c>
      <c r="C19" t="s">
        <v>25</v>
      </c>
      <c r="D19" t="s">
        <v>25</v>
      </c>
      <c r="E19" t="s">
        <v>26</v>
      </c>
      <c r="F19" t="b">
        <v>1</v>
      </c>
      <c r="G19" t="b">
        <v>1</v>
      </c>
      <c r="H19" t="b">
        <f t="shared" si="0"/>
        <v>1</v>
      </c>
      <c r="I19" t="b">
        <f t="shared" si="1"/>
        <v>1</v>
      </c>
      <c r="J19">
        <f t="shared" si="2"/>
        <v>1</v>
      </c>
    </row>
    <row r="20" spans="1:10" x14ac:dyDescent="0.35">
      <c r="A20" t="s">
        <v>75</v>
      </c>
      <c r="B20" t="s">
        <v>76</v>
      </c>
      <c r="C20" t="s">
        <v>77</v>
      </c>
      <c r="D20" t="s">
        <v>77</v>
      </c>
      <c r="E20" t="s">
        <v>78</v>
      </c>
      <c r="F20" t="b">
        <v>1</v>
      </c>
      <c r="G20" t="b">
        <v>1</v>
      </c>
      <c r="H20" t="b">
        <f t="shared" si="0"/>
        <v>1</v>
      </c>
      <c r="I20" t="b">
        <f t="shared" si="1"/>
        <v>1</v>
      </c>
      <c r="J20">
        <f t="shared" si="2"/>
        <v>1</v>
      </c>
    </row>
    <row r="21" spans="1:10" x14ac:dyDescent="0.35">
      <c r="A21" t="s">
        <v>79</v>
      </c>
      <c r="B21" t="s">
        <v>80</v>
      </c>
      <c r="C21" t="s">
        <v>18</v>
      </c>
      <c r="D21" t="s">
        <v>14</v>
      </c>
      <c r="E21" t="s">
        <v>81</v>
      </c>
      <c r="F21" t="b">
        <v>0</v>
      </c>
      <c r="G21" t="b">
        <v>0</v>
      </c>
      <c r="H21" t="b">
        <f t="shared" si="0"/>
        <v>0</v>
      </c>
      <c r="I21" t="b">
        <f t="shared" si="1"/>
        <v>1</v>
      </c>
      <c r="J21">
        <f t="shared" si="2"/>
        <v>0</v>
      </c>
    </row>
    <row r="22" spans="1:10" x14ac:dyDescent="0.35">
      <c r="A22" t="s">
        <v>82</v>
      </c>
      <c r="B22" t="s">
        <v>83</v>
      </c>
      <c r="C22" t="s">
        <v>18</v>
      </c>
      <c r="D22" t="s">
        <v>14</v>
      </c>
      <c r="E22" t="s">
        <v>84</v>
      </c>
      <c r="F22" t="b">
        <v>0</v>
      </c>
      <c r="G22" t="b">
        <v>0</v>
      </c>
      <c r="H22" t="b">
        <f t="shared" si="0"/>
        <v>0</v>
      </c>
      <c r="I22" t="b">
        <f t="shared" si="1"/>
        <v>1</v>
      </c>
      <c r="J22">
        <f t="shared" si="2"/>
        <v>0</v>
      </c>
    </row>
    <row r="23" spans="1:10" x14ac:dyDescent="0.35">
      <c r="A23" t="s">
        <v>85</v>
      </c>
      <c r="B23" t="s">
        <v>86</v>
      </c>
      <c r="C23" t="s">
        <v>18</v>
      </c>
      <c r="D23" t="s">
        <v>87</v>
      </c>
      <c r="E23" t="s">
        <v>88</v>
      </c>
      <c r="F23" t="b">
        <v>0</v>
      </c>
      <c r="G23" t="b">
        <v>0</v>
      </c>
      <c r="H23" t="b">
        <f t="shared" si="0"/>
        <v>0</v>
      </c>
      <c r="I23" t="b">
        <f t="shared" si="1"/>
        <v>1</v>
      </c>
      <c r="J23">
        <f t="shared" si="2"/>
        <v>0</v>
      </c>
    </row>
    <row r="24" spans="1:10" x14ac:dyDescent="0.35">
      <c r="A24" t="s">
        <v>89</v>
      </c>
      <c r="B24" t="s">
        <v>24</v>
      </c>
      <c r="C24" t="s">
        <v>25</v>
      </c>
      <c r="D24" t="s">
        <v>25</v>
      </c>
      <c r="E24" t="s">
        <v>26</v>
      </c>
      <c r="F24" t="b">
        <v>1</v>
      </c>
      <c r="G24" t="b">
        <v>1</v>
      </c>
      <c r="H24" t="b">
        <f t="shared" si="0"/>
        <v>1</v>
      </c>
      <c r="I24" t="b">
        <f t="shared" si="1"/>
        <v>1</v>
      </c>
      <c r="J24">
        <f t="shared" si="2"/>
        <v>1</v>
      </c>
    </row>
    <row r="25" spans="1:10" x14ac:dyDescent="0.35">
      <c r="A25" t="s">
        <v>90</v>
      </c>
      <c r="B25" t="s">
        <v>91</v>
      </c>
      <c r="C25" t="s">
        <v>92</v>
      </c>
      <c r="D25" t="s">
        <v>93</v>
      </c>
      <c r="E25" t="s">
        <v>94</v>
      </c>
      <c r="F25" t="b">
        <v>0</v>
      </c>
      <c r="G25" t="b">
        <v>0</v>
      </c>
      <c r="H25" t="b">
        <f t="shared" si="0"/>
        <v>0</v>
      </c>
      <c r="I25" t="b">
        <f t="shared" si="1"/>
        <v>1</v>
      </c>
      <c r="J25">
        <f t="shared" si="2"/>
        <v>0</v>
      </c>
    </row>
    <row r="26" spans="1:10" x14ac:dyDescent="0.35">
      <c r="A26" t="s">
        <v>95</v>
      </c>
      <c r="B26" t="s">
        <v>96</v>
      </c>
      <c r="C26" t="s">
        <v>97</v>
      </c>
      <c r="D26" t="s">
        <v>98</v>
      </c>
      <c r="E26" t="s">
        <v>99</v>
      </c>
      <c r="F26" t="b">
        <v>0</v>
      </c>
      <c r="G26" t="b">
        <v>0</v>
      </c>
      <c r="H26" t="b">
        <f t="shared" si="0"/>
        <v>0</v>
      </c>
      <c r="I26" t="b">
        <f t="shared" si="1"/>
        <v>1</v>
      </c>
      <c r="J26">
        <f t="shared" si="2"/>
        <v>0</v>
      </c>
    </row>
    <row r="27" spans="1:10" x14ac:dyDescent="0.35">
      <c r="A27" t="s">
        <v>100</v>
      </c>
      <c r="B27" t="s">
        <v>63</v>
      </c>
      <c r="C27" t="s">
        <v>18</v>
      </c>
      <c r="D27" t="s">
        <v>64</v>
      </c>
      <c r="E27" t="s">
        <v>65</v>
      </c>
      <c r="F27" t="b">
        <v>0</v>
      </c>
      <c r="G27" t="b">
        <v>0</v>
      </c>
      <c r="H27" t="b">
        <f t="shared" si="0"/>
        <v>0</v>
      </c>
      <c r="I27" t="b">
        <f t="shared" si="1"/>
        <v>1</v>
      </c>
      <c r="J27">
        <f t="shared" si="2"/>
        <v>0</v>
      </c>
    </row>
    <row r="28" spans="1:10" x14ac:dyDescent="0.35">
      <c r="A28" t="s">
        <v>101</v>
      </c>
      <c r="B28" t="s">
        <v>102</v>
      </c>
      <c r="C28" t="s">
        <v>46</v>
      </c>
      <c r="D28" t="s">
        <v>46</v>
      </c>
      <c r="E28" t="s">
        <v>47</v>
      </c>
      <c r="F28" t="b">
        <v>1</v>
      </c>
      <c r="G28" t="b">
        <v>1</v>
      </c>
      <c r="H28" t="b">
        <f t="shared" si="0"/>
        <v>1</v>
      </c>
      <c r="I28" t="b">
        <f t="shared" si="1"/>
        <v>1</v>
      </c>
      <c r="J28">
        <f t="shared" si="2"/>
        <v>1</v>
      </c>
    </row>
    <row r="29" spans="1:10" x14ac:dyDescent="0.35">
      <c r="A29" t="s">
        <v>103</v>
      </c>
      <c r="B29" t="s">
        <v>63</v>
      </c>
      <c r="C29" t="s">
        <v>18</v>
      </c>
      <c r="D29" t="s">
        <v>64</v>
      </c>
      <c r="E29" t="s">
        <v>65</v>
      </c>
      <c r="F29" t="b">
        <v>0</v>
      </c>
      <c r="G29" t="b">
        <v>0</v>
      </c>
      <c r="H29" t="b">
        <f t="shared" si="0"/>
        <v>0</v>
      </c>
      <c r="I29" t="b">
        <f t="shared" si="1"/>
        <v>1</v>
      </c>
      <c r="J29">
        <f t="shared" si="2"/>
        <v>0</v>
      </c>
    </row>
    <row r="30" spans="1:10" x14ac:dyDescent="0.35">
      <c r="A30" t="s">
        <v>104</v>
      </c>
      <c r="B30" t="s">
        <v>105</v>
      </c>
      <c r="C30" t="s">
        <v>38</v>
      </c>
      <c r="D30" t="s">
        <v>106</v>
      </c>
      <c r="E30" t="s">
        <v>107</v>
      </c>
      <c r="F30" t="b">
        <v>0</v>
      </c>
      <c r="G30" t="b">
        <v>0</v>
      </c>
      <c r="H30" t="b">
        <f t="shared" si="0"/>
        <v>0</v>
      </c>
      <c r="I30" t="b">
        <f t="shared" si="1"/>
        <v>1</v>
      </c>
      <c r="J30">
        <f t="shared" si="2"/>
        <v>0</v>
      </c>
    </row>
    <row r="31" spans="1:10" x14ac:dyDescent="0.35">
      <c r="A31" t="s">
        <v>108</v>
      </c>
      <c r="B31" t="s">
        <v>109</v>
      </c>
      <c r="C31" t="s">
        <v>106</v>
      </c>
      <c r="D31" t="s">
        <v>106</v>
      </c>
      <c r="E31" t="s">
        <v>110</v>
      </c>
      <c r="F31" t="b">
        <v>1</v>
      </c>
      <c r="G31" t="b">
        <v>1</v>
      </c>
      <c r="H31" t="b">
        <f t="shared" si="0"/>
        <v>1</v>
      </c>
      <c r="I31" t="b">
        <f t="shared" si="1"/>
        <v>1</v>
      </c>
      <c r="J31">
        <f t="shared" si="2"/>
        <v>1</v>
      </c>
    </row>
    <row r="32" spans="1:10" x14ac:dyDescent="0.35">
      <c r="A32" t="s">
        <v>111</v>
      </c>
      <c r="B32" t="s">
        <v>112</v>
      </c>
      <c r="C32" t="s">
        <v>113</v>
      </c>
      <c r="D32" t="s">
        <v>113</v>
      </c>
      <c r="E32" t="s">
        <v>114</v>
      </c>
      <c r="F32" t="b">
        <v>1</v>
      </c>
      <c r="G32" t="b">
        <v>1</v>
      </c>
      <c r="H32" t="b">
        <f t="shared" si="0"/>
        <v>1</v>
      </c>
      <c r="I32" t="b">
        <f t="shared" si="1"/>
        <v>1</v>
      </c>
      <c r="J32">
        <f t="shared" si="2"/>
        <v>1</v>
      </c>
    </row>
    <row r="33" spans="1:10" x14ac:dyDescent="0.35">
      <c r="A33" t="s">
        <v>115</v>
      </c>
      <c r="B33" t="s">
        <v>116</v>
      </c>
      <c r="C33" t="s">
        <v>97</v>
      </c>
      <c r="D33" t="s">
        <v>97</v>
      </c>
      <c r="E33" t="s">
        <v>117</v>
      </c>
      <c r="F33" t="b">
        <v>1</v>
      </c>
      <c r="G33" t="b">
        <v>1</v>
      </c>
      <c r="H33" t="b">
        <f t="shared" si="0"/>
        <v>1</v>
      </c>
      <c r="I33" t="b">
        <f t="shared" si="1"/>
        <v>1</v>
      </c>
      <c r="J33">
        <f t="shared" si="2"/>
        <v>1</v>
      </c>
    </row>
    <row r="34" spans="1:10" x14ac:dyDescent="0.35">
      <c r="A34" t="s">
        <v>118</v>
      </c>
      <c r="B34" t="s">
        <v>63</v>
      </c>
      <c r="C34" t="s">
        <v>18</v>
      </c>
      <c r="D34" t="s">
        <v>64</v>
      </c>
      <c r="E34" t="s">
        <v>65</v>
      </c>
      <c r="F34" t="b">
        <v>0</v>
      </c>
      <c r="G34" t="b">
        <v>0</v>
      </c>
      <c r="H34" t="b">
        <f t="shared" si="0"/>
        <v>0</v>
      </c>
      <c r="I34" t="b">
        <f t="shared" si="1"/>
        <v>1</v>
      </c>
      <c r="J34">
        <f t="shared" si="2"/>
        <v>0</v>
      </c>
    </row>
    <row r="35" spans="1:10" x14ac:dyDescent="0.35">
      <c r="A35" t="s">
        <v>119</v>
      </c>
      <c r="B35" t="s">
        <v>120</v>
      </c>
      <c r="C35" t="s">
        <v>68</v>
      </c>
      <c r="D35" t="s">
        <v>68</v>
      </c>
      <c r="E35" t="s">
        <v>69</v>
      </c>
      <c r="F35" t="b">
        <v>1</v>
      </c>
      <c r="G35" t="b">
        <v>1</v>
      </c>
      <c r="H35" t="b">
        <f t="shared" si="0"/>
        <v>1</v>
      </c>
      <c r="I35" t="b">
        <f t="shared" si="1"/>
        <v>1</v>
      </c>
      <c r="J35">
        <f t="shared" si="2"/>
        <v>1</v>
      </c>
    </row>
    <row r="36" spans="1:10" x14ac:dyDescent="0.35">
      <c r="A36" t="s">
        <v>121</v>
      </c>
      <c r="B36" t="s">
        <v>112</v>
      </c>
      <c r="C36" t="s">
        <v>113</v>
      </c>
      <c r="D36" t="s">
        <v>113</v>
      </c>
      <c r="E36" t="s">
        <v>114</v>
      </c>
      <c r="F36" t="b">
        <v>1</v>
      </c>
      <c r="G36" t="b">
        <v>1</v>
      </c>
      <c r="H36" t="b">
        <f t="shared" si="0"/>
        <v>1</v>
      </c>
      <c r="I36" t="b">
        <f t="shared" si="1"/>
        <v>1</v>
      </c>
      <c r="J36">
        <f t="shared" si="2"/>
        <v>1</v>
      </c>
    </row>
    <row r="37" spans="1:10" x14ac:dyDescent="0.35">
      <c r="A37" t="s">
        <v>122</v>
      </c>
      <c r="B37" t="s">
        <v>116</v>
      </c>
      <c r="C37" t="s">
        <v>97</v>
      </c>
      <c r="D37" t="s">
        <v>97</v>
      </c>
      <c r="E37" t="s">
        <v>117</v>
      </c>
      <c r="F37" t="b">
        <v>1</v>
      </c>
      <c r="G37" t="b">
        <v>1</v>
      </c>
      <c r="H37" t="b">
        <f t="shared" si="0"/>
        <v>1</v>
      </c>
      <c r="I37" t="b">
        <f t="shared" si="1"/>
        <v>1</v>
      </c>
      <c r="J37">
        <f t="shared" si="2"/>
        <v>1</v>
      </c>
    </row>
    <row r="38" spans="1:10" x14ac:dyDescent="0.35">
      <c r="A38" t="s">
        <v>123</v>
      </c>
      <c r="B38" t="s">
        <v>63</v>
      </c>
      <c r="C38" t="s">
        <v>18</v>
      </c>
      <c r="D38" t="s">
        <v>64</v>
      </c>
      <c r="E38" t="s">
        <v>65</v>
      </c>
      <c r="F38" t="b">
        <v>0</v>
      </c>
      <c r="G38" t="b">
        <v>0</v>
      </c>
      <c r="H38" t="b">
        <f t="shared" si="0"/>
        <v>0</v>
      </c>
      <c r="I38" t="b">
        <f t="shared" si="1"/>
        <v>1</v>
      </c>
      <c r="J38">
        <f t="shared" si="2"/>
        <v>0</v>
      </c>
    </row>
    <row r="39" spans="1:10" x14ac:dyDescent="0.35">
      <c r="A39" t="s">
        <v>124</v>
      </c>
      <c r="B39" t="s">
        <v>120</v>
      </c>
      <c r="C39" t="s">
        <v>68</v>
      </c>
      <c r="D39" t="s">
        <v>68</v>
      </c>
      <c r="E39" t="s">
        <v>69</v>
      </c>
      <c r="F39" t="b">
        <v>1</v>
      </c>
      <c r="G39" t="b">
        <v>1</v>
      </c>
      <c r="H39" t="b">
        <f t="shared" si="0"/>
        <v>1</v>
      </c>
      <c r="I39" t="b">
        <f t="shared" si="1"/>
        <v>1</v>
      </c>
      <c r="J39">
        <f t="shared" si="2"/>
        <v>1</v>
      </c>
    </row>
    <row r="40" spans="1:10" x14ac:dyDescent="0.35">
      <c r="A40" t="s">
        <v>125</v>
      </c>
      <c r="B40" t="s">
        <v>112</v>
      </c>
      <c r="C40" t="s">
        <v>113</v>
      </c>
      <c r="D40" t="s">
        <v>113</v>
      </c>
      <c r="E40" t="s">
        <v>114</v>
      </c>
      <c r="F40" t="b">
        <v>1</v>
      </c>
      <c r="G40" t="b">
        <v>1</v>
      </c>
      <c r="H40" t="b">
        <f t="shared" si="0"/>
        <v>1</v>
      </c>
      <c r="I40" t="b">
        <f t="shared" si="1"/>
        <v>1</v>
      </c>
      <c r="J40">
        <f t="shared" si="2"/>
        <v>1</v>
      </c>
    </row>
    <row r="41" spans="1:10" x14ac:dyDescent="0.35">
      <c r="A41" t="s">
        <v>126</v>
      </c>
      <c r="B41" t="s">
        <v>116</v>
      </c>
      <c r="C41" t="s">
        <v>97</v>
      </c>
      <c r="D41" t="s">
        <v>97</v>
      </c>
      <c r="E41" t="s">
        <v>117</v>
      </c>
      <c r="F41" t="b">
        <v>1</v>
      </c>
      <c r="G41" t="b">
        <v>1</v>
      </c>
      <c r="H41" t="b">
        <f t="shared" si="0"/>
        <v>1</v>
      </c>
      <c r="I41" t="b">
        <f t="shared" si="1"/>
        <v>1</v>
      </c>
      <c r="J41">
        <f t="shared" si="2"/>
        <v>1</v>
      </c>
    </row>
    <row r="42" spans="1:10" x14ac:dyDescent="0.35">
      <c r="A42" t="s">
        <v>127</v>
      </c>
      <c r="B42" t="s">
        <v>63</v>
      </c>
      <c r="C42" t="s">
        <v>18</v>
      </c>
      <c r="D42" t="s">
        <v>64</v>
      </c>
      <c r="E42" t="s">
        <v>65</v>
      </c>
      <c r="F42" t="b">
        <v>0</v>
      </c>
      <c r="G42" t="b">
        <v>0</v>
      </c>
      <c r="H42" t="b">
        <f t="shared" si="0"/>
        <v>0</v>
      </c>
      <c r="I42" t="b">
        <f t="shared" si="1"/>
        <v>1</v>
      </c>
      <c r="J42">
        <f t="shared" si="2"/>
        <v>0</v>
      </c>
    </row>
    <row r="43" spans="1:10" x14ac:dyDescent="0.35">
      <c r="A43" t="s">
        <v>128</v>
      </c>
      <c r="B43" t="s">
        <v>120</v>
      </c>
      <c r="C43" t="s">
        <v>68</v>
      </c>
      <c r="D43" t="s">
        <v>68</v>
      </c>
      <c r="E43" t="s">
        <v>69</v>
      </c>
      <c r="F43" t="b">
        <v>1</v>
      </c>
      <c r="G43" t="b">
        <v>1</v>
      </c>
      <c r="H43" t="b">
        <f t="shared" si="0"/>
        <v>1</v>
      </c>
      <c r="I43" t="b">
        <f t="shared" si="1"/>
        <v>1</v>
      </c>
      <c r="J43">
        <f t="shared" si="2"/>
        <v>1</v>
      </c>
    </row>
    <row r="44" spans="1:10" x14ac:dyDescent="0.35">
      <c r="A44" t="s">
        <v>129</v>
      </c>
      <c r="B44" t="s">
        <v>112</v>
      </c>
      <c r="C44" t="s">
        <v>113</v>
      </c>
      <c r="D44" t="s">
        <v>113</v>
      </c>
      <c r="E44" t="s">
        <v>114</v>
      </c>
      <c r="F44" t="b">
        <v>1</v>
      </c>
      <c r="G44" t="b">
        <v>1</v>
      </c>
      <c r="H44" t="b">
        <f t="shared" si="0"/>
        <v>1</v>
      </c>
      <c r="I44" t="b">
        <f t="shared" si="1"/>
        <v>1</v>
      </c>
      <c r="J44">
        <f t="shared" si="2"/>
        <v>1</v>
      </c>
    </row>
    <row r="45" spans="1:10" x14ac:dyDescent="0.35">
      <c r="A45" t="s">
        <v>130</v>
      </c>
      <c r="B45" t="s">
        <v>116</v>
      </c>
      <c r="C45" t="s">
        <v>97</v>
      </c>
      <c r="D45" t="s">
        <v>97</v>
      </c>
      <c r="E45" t="s">
        <v>117</v>
      </c>
      <c r="F45" t="b">
        <v>1</v>
      </c>
      <c r="G45" t="b">
        <v>1</v>
      </c>
      <c r="H45" t="b">
        <f t="shared" si="0"/>
        <v>1</v>
      </c>
      <c r="I45" t="b">
        <f t="shared" si="1"/>
        <v>1</v>
      </c>
      <c r="J45">
        <f t="shared" si="2"/>
        <v>1</v>
      </c>
    </row>
    <row r="46" spans="1:10" x14ac:dyDescent="0.35">
      <c r="A46" t="s">
        <v>131</v>
      </c>
      <c r="B46" t="s">
        <v>63</v>
      </c>
      <c r="C46" t="s">
        <v>18</v>
      </c>
      <c r="D46" t="s">
        <v>64</v>
      </c>
      <c r="E46" t="s">
        <v>65</v>
      </c>
      <c r="F46" t="b">
        <v>0</v>
      </c>
      <c r="G46" t="b">
        <v>0</v>
      </c>
      <c r="H46" t="b">
        <f t="shared" si="0"/>
        <v>0</v>
      </c>
      <c r="I46" t="b">
        <f t="shared" si="1"/>
        <v>1</v>
      </c>
      <c r="J46">
        <f t="shared" si="2"/>
        <v>0</v>
      </c>
    </row>
    <row r="47" spans="1:10" x14ac:dyDescent="0.35">
      <c r="A47" t="s">
        <v>132</v>
      </c>
      <c r="B47" t="s">
        <v>63</v>
      </c>
      <c r="C47" t="s">
        <v>18</v>
      </c>
      <c r="D47" t="s">
        <v>64</v>
      </c>
      <c r="E47" t="s">
        <v>65</v>
      </c>
      <c r="F47" t="b">
        <v>0</v>
      </c>
      <c r="G47" t="b">
        <v>0</v>
      </c>
      <c r="H47" t="b">
        <f t="shared" si="0"/>
        <v>0</v>
      </c>
      <c r="I47" t="b">
        <f t="shared" si="1"/>
        <v>1</v>
      </c>
      <c r="J47">
        <f t="shared" si="2"/>
        <v>0</v>
      </c>
    </row>
    <row r="48" spans="1:10" x14ac:dyDescent="0.35">
      <c r="A48" t="s">
        <v>133</v>
      </c>
      <c r="B48" t="s">
        <v>134</v>
      </c>
      <c r="C48" t="s">
        <v>57</v>
      </c>
      <c r="D48" t="s">
        <v>14</v>
      </c>
      <c r="E48" t="s">
        <v>135</v>
      </c>
      <c r="F48" t="b">
        <v>0</v>
      </c>
      <c r="G48" t="b">
        <v>0</v>
      </c>
      <c r="H48" t="b">
        <f t="shared" si="0"/>
        <v>0</v>
      </c>
      <c r="I48" t="b">
        <f t="shared" si="1"/>
        <v>1</v>
      </c>
      <c r="J48">
        <f t="shared" si="2"/>
        <v>0</v>
      </c>
    </row>
    <row r="49" spans="1:10" x14ac:dyDescent="0.35">
      <c r="A49" t="s">
        <v>136</v>
      </c>
      <c r="B49" t="s">
        <v>102</v>
      </c>
      <c r="C49" t="s">
        <v>46</v>
      </c>
      <c r="D49" t="s">
        <v>46</v>
      </c>
      <c r="E49" t="s">
        <v>47</v>
      </c>
      <c r="F49" t="b">
        <v>1</v>
      </c>
      <c r="G49" t="b">
        <v>1</v>
      </c>
      <c r="H49" t="b">
        <f t="shared" si="0"/>
        <v>1</v>
      </c>
      <c r="I49" t="b">
        <f t="shared" si="1"/>
        <v>1</v>
      </c>
      <c r="J49">
        <f t="shared" si="2"/>
        <v>1</v>
      </c>
    </row>
    <row r="50" spans="1:10" x14ac:dyDescent="0.35">
      <c r="A50" t="s">
        <v>137</v>
      </c>
      <c r="B50" t="s">
        <v>63</v>
      </c>
      <c r="C50" t="s">
        <v>18</v>
      </c>
      <c r="D50" t="s">
        <v>64</v>
      </c>
      <c r="E50" t="s">
        <v>65</v>
      </c>
      <c r="F50" t="b">
        <v>0</v>
      </c>
      <c r="G50" t="b">
        <v>0</v>
      </c>
      <c r="H50" t="b">
        <f t="shared" si="0"/>
        <v>0</v>
      </c>
      <c r="I50" t="b">
        <f t="shared" si="1"/>
        <v>1</v>
      </c>
      <c r="J50">
        <f t="shared" si="2"/>
        <v>0</v>
      </c>
    </row>
    <row r="51" spans="1:10" x14ac:dyDescent="0.35">
      <c r="A51" t="s">
        <v>138</v>
      </c>
      <c r="B51" t="s">
        <v>67</v>
      </c>
      <c r="C51" t="s">
        <v>68</v>
      </c>
      <c r="D51" t="s">
        <v>68</v>
      </c>
      <c r="E51" t="s">
        <v>69</v>
      </c>
      <c r="F51" t="b">
        <v>1</v>
      </c>
      <c r="G51" t="b">
        <v>1</v>
      </c>
      <c r="H51" t="b">
        <f t="shared" si="0"/>
        <v>1</v>
      </c>
      <c r="I51" t="b">
        <f t="shared" si="1"/>
        <v>1</v>
      </c>
      <c r="J51">
        <f t="shared" si="2"/>
        <v>1</v>
      </c>
    </row>
    <row r="52" spans="1:10" x14ac:dyDescent="0.35">
      <c r="A52" t="s">
        <v>139</v>
      </c>
      <c r="B52" t="s">
        <v>140</v>
      </c>
      <c r="C52" t="s">
        <v>97</v>
      </c>
      <c r="D52" t="s">
        <v>97</v>
      </c>
      <c r="E52" t="s">
        <v>117</v>
      </c>
      <c r="F52" t="b">
        <v>1</v>
      </c>
      <c r="G52" t="b">
        <v>1</v>
      </c>
      <c r="H52" t="b">
        <f t="shared" si="0"/>
        <v>1</v>
      </c>
      <c r="I52" t="b">
        <f t="shared" si="1"/>
        <v>1</v>
      </c>
      <c r="J52">
        <f t="shared" si="2"/>
        <v>1</v>
      </c>
    </row>
    <row r="53" spans="1:10" x14ac:dyDescent="0.35">
      <c r="A53" t="s">
        <v>141</v>
      </c>
      <c r="B53" t="s">
        <v>102</v>
      </c>
      <c r="C53" t="s">
        <v>46</v>
      </c>
      <c r="D53" t="s">
        <v>46</v>
      </c>
      <c r="E53" t="s">
        <v>47</v>
      </c>
      <c r="F53" t="b">
        <v>1</v>
      </c>
      <c r="G53" t="b">
        <v>1</v>
      </c>
      <c r="H53" t="b">
        <f t="shared" si="0"/>
        <v>1</v>
      </c>
      <c r="I53" t="b">
        <f t="shared" si="1"/>
        <v>1</v>
      </c>
      <c r="J53">
        <f t="shared" si="2"/>
        <v>1</v>
      </c>
    </row>
    <row r="54" spans="1:10" x14ac:dyDescent="0.35">
      <c r="A54" t="s">
        <v>142</v>
      </c>
      <c r="B54" t="s">
        <v>63</v>
      </c>
      <c r="C54" t="s">
        <v>18</v>
      </c>
      <c r="D54" t="s">
        <v>64</v>
      </c>
      <c r="E54" t="s">
        <v>65</v>
      </c>
      <c r="F54" t="b">
        <v>0</v>
      </c>
      <c r="G54" t="b">
        <v>0</v>
      </c>
      <c r="H54" t="b">
        <f t="shared" si="0"/>
        <v>0</v>
      </c>
      <c r="I54" t="b">
        <f t="shared" si="1"/>
        <v>1</v>
      </c>
      <c r="J54">
        <f t="shared" si="2"/>
        <v>0</v>
      </c>
    </row>
    <row r="55" spans="1:10" x14ac:dyDescent="0.35">
      <c r="A55" t="s">
        <v>143</v>
      </c>
      <c r="B55" t="s">
        <v>144</v>
      </c>
      <c r="C55" t="s">
        <v>9</v>
      </c>
      <c r="D55" t="s">
        <v>14</v>
      </c>
      <c r="E55" t="s">
        <v>145</v>
      </c>
      <c r="F55" t="b">
        <v>0</v>
      </c>
      <c r="G55" t="b">
        <v>0</v>
      </c>
      <c r="H55" t="b">
        <f t="shared" si="0"/>
        <v>0</v>
      </c>
      <c r="I55" t="b">
        <f t="shared" si="1"/>
        <v>1</v>
      </c>
      <c r="J55">
        <f t="shared" si="2"/>
        <v>0</v>
      </c>
    </row>
    <row r="56" spans="1:10" x14ac:dyDescent="0.35">
      <c r="A56" t="s">
        <v>146</v>
      </c>
      <c r="B56" t="s">
        <v>28</v>
      </c>
      <c r="C56" t="s">
        <v>29</v>
      </c>
      <c r="D56" t="s">
        <v>29</v>
      </c>
      <c r="E56" t="s">
        <v>30</v>
      </c>
      <c r="F56" t="b">
        <v>1</v>
      </c>
      <c r="G56" t="b">
        <v>1</v>
      </c>
      <c r="H56" t="b">
        <f t="shared" si="0"/>
        <v>1</v>
      </c>
      <c r="I56" t="b">
        <f t="shared" si="1"/>
        <v>1</v>
      </c>
      <c r="J56">
        <f t="shared" si="2"/>
        <v>1</v>
      </c>
    </row>
    <row r="57" spans="1:10" x14ac:dyDescent="0.35">
      <c r="A57" t="s">
        <v>147</v>
      </c>
      <c r="B57" t="s">
        <v>45</v>
      </c>
      <c r="C57" t="s">
        <v>46</v>
      </c>
      <c r="D57" t="s">
        <v>46</v>
      </c>
      <c r="E57" t="s">
        <v>47</v>
      </c>
      <c r="F57" t="b">
        <v>1</v>
      </c>
      <c r="G57" t="b">
        <v>1</v>
      </c>
      <c r="H57" t="b">
        <f t="shared" si="0"/>
        <v>1</v>
      </c>
      <c r="I57" t="b">
        <f t="shared" si="1"/>
        <v>1</v>
      </c>
      <c r="J57">
        <f t="shared" si="2"/>
        <v>1</v>
      </c>
    </row>
    <row r="58" spans="1:10" x14ac:dyDescent="0.35">
      <c r="A58" t="s">
        <v>148</v>
      </c>
      <c r="B58" t="s">
        <v>63</v>
      </c>
      <c r="C58" t="s">
        <v>18</v>
      </c>
      <c r="D58" t="s">
        <v>64</v>
      </c>
      <c r="E58" t="s">
        <v>65</v>
      </c>
      <c r="F58" t="b">
        <v>0</v>
      </c>
      <c r="G58" t="b">
        <v>0</v>
      </c>
      <c r="H58" t="b">
        <f t="shared" si="0"/>
        <v>0</v>
      </c>
      <c r="I58" t="b">
        <f t="shared" si="1"/>
        <v>1</v>
      </c>
      <c r="J58">
        <f t="shared" si="2"/>
        <v>0</v>
      </c>
    </row>
    <row r="59" spans="1:10" x14ac:dyDescent="0.35">
      <c r="A59" t="s">
        <v>149</v>
      </c>
      <c r="B59" t="s">
        <v>45</v>
      </c>
      <c r="C59" t="s">
        <v>46</v>
      </c>
      <c r="D59" t="s">
        <v>46</v>
      </c>
      <c r="E59" t="s">
        <v>47</v>
      </c>
      <c r="F59" t="b">
        <v>1</v>
      </c>
      <c r="G59" t="b">
        <v>1</v>
      </c>
      <c r="H59" t="b">
        <f t="shared" si="0"/>
        <v>1</v>
      </c>
      <c r="I59" t="b">
        <f t="shared" si="1"/>
        <v>1</v>
      </c>
      <c r="J59">
        <f t="shared" si="2"/>
        <v>1</v>
      </c>
    </row>
    <row r="60" spans="1:10" x14ac:dyDescent="0.35">
      <c r="A60" t="s">
        <v>150</v>
      </c>
      <c r="B60" t="s">
        <v>151</v>
      </c>
      <c r="C60" t="s">
        <v>18</v>
      </c>
      <c r="D60" t="s">
        <v>14</v>
      </c>
      <c r="E60" t="s">
        <v>152</v>
      </c>
      <c r="F60" t="b">
        <v>0</v>
      </c>
      <c r="G60" t="b">
        <v>0</v>
      </c>
      <c r="H60" t="b">
        <f t="shared" si="0"/>
        <v>0</v>
      </c>
      <c r="I60" t="b">
        <f t="shared" si="1"/>
        <v>1</v>
      </c>
      <c r="J60">
        <f t="shared" si="2"/>
        <v>0</v>
      </c>
    </row>
    <row r="61" spans="1:10" x14ac:dyDescent="0.35">
      <c r="A61" t="s">
        <v>153</v>
      </c>
      <c r="B61" t="s">
        <v>154</v>
      </c>
      <c r="C61" t="s">
        <v>155</v>
      </c>
      <c r="D61" t="s">
        <v>155</v>
      </c>
      <c r="E61" t="s">
        <v>156</v>
      </c>
      <c r="F61" t="b">
        <v>1</v>
      </c>
      <c r="G61" t="b">
        <v>1</v>
      </c>
      <c r="H61" t="b">
        <f t="shared" si="0"/>
        <v>1</v>
      </c>
      <c r="I61" t="b">
        <f t="shared" si="1"/>
        <v>1</v>
      </c>
      <c r="J61">
        <f t="shared" si="2"/>
        <v>1</v>
      </c>
    </row>
    <row r="62" spans="1:10" x14ac:dyDescent="0.35">
      <c r="A62" t="s">
        <v>157</v>
      </c>
      <c r="B62" t="s">
        <v>158</v>
      </c>
      <c r="C62" t="s">
        <v>159</v>
      </c>
      <c r="D62" t="s">
        <v>159</v>
      </c>
      <c r="E62" t="s">
        <v>160</v>
      </c>
      <c r="F62" t="b">
        <v>1</v>
      </c>
      <c r="G62" t="b">
        <v>1</v>
      </c>
      <c r="H62" t="b">
        <f t="shared" si="0"/>
        <v>1</v>
      </c>
      <c r="I62" t="b">
        <f t="shared" si="1"/>
        <v>1</v>
      </c>
      <c r="J62">
        <f t="shared" si="2"/>
        <v>1</v>
      </c>
    </row>
    <row r="63" spans="1:10" x14ac:dyDescent="0.35">
      <c r="A63" t="s">
        <v>161</v>
      </c>
      <c r="B63" t="s">
        <v>162</v>
      </c>
      <c r="C63" t="s">
        <v>163</v>
      </c>
      <c r="D63" t="s">
        <v>164</v>
      </c>
      <c r="E63" t="s">
        <v>165</v>
      </c>
      <c r="F63" t="b">
        <v>0</v>
      </c>
      <c r="G63" t="b">
        <v>0</v>
      </c>
      <c r="H63" t="b">
        <f t="shared" si="0"/>
        <v>0</v>
      </c>
      <c r="I63" t="b">
        <f t="shared" si="1"/>
        <v>1</v>
      </c>
      <c r="J63">
        <f t="shared" si="2"/>
        <v>0</v>
      </c>
    </row>
    <row r="64" spans="1:10" x14ac:dyDescent="0.35">
      <c r="A64" t="s">
        <v>166</v>
      </c>
      <c r="B64" t="s">
        <v>63</v>
      </c>
      <c r="C64" t="s">
        <v>18</v>
      </c>
      <c r="D64" t="s">
        <v>64</v>
      </c>
      <c r="E64" t="s">
        <v>65</v>
      </c>
      <c r="F64" t="b">
        <v>0</v>
      </c>
      <c r="G64" t="b">
        <v>0</v>
      </c>
      <c r="H64" t="b">
        <f t="shared" si="0"/>
        <v>0</v>
      </c>
      <c r="I64" t="b">
        <f t="shared" si="1"/>
        <v>1</v>
      </c>
      <c r="J64">
        <f t="shared" si="2"/>
        <v>0</v>
      </c>
    </row>
    <row r="65" spans="1:10" x14ac:dyDescent="0.35">
      <c r="A65" t="s">
        <v>167</v>
      </c>
      <c r="B65" t="s">
        <v>24</v>
      </c>
      <c r="C65" t="s">
        <v>25</v>
      </c>
      <c r="D65" t="s">
        <v>25</v>
      </c>
      <c r="E65" t="s">
        <v>26</v>
      </c>
      <c r="F65" t="b">
        <v>1</v>
      </c>
      <c r="G65" t="b">
        <v>1</v>
      </c>
      <c r="H65" t="b">
        <f t="shared" si="0"/>
        <v>1</v>
      </c>
      <c r="I65" t="b">
        <f t="shared" si="1"/>
        <v>1</v>
      </c>
      <c r="J65">
        <f t="shared" si="2"/>
        <v>1</v>
      </c>
    </row>
    <row r="66" spans="1:10" x14ac:dyDescent="0.35">
      <c r="A66" t="s">
        <v>168</v>
      </c>
      <c r="B66" t="s">
        <v>169</v>
      </c>
      <c r="C66" t="s">
        <v>170</v>
      </c>
      <c r="D66" t="s">
        <v>14</v>
      </c>
      <c r="E66" t="s">
        <v>171</v>
      </c>
      <c r="F66" t="b">
        <v>0</v>
      </c>
      <c r="G66" t="b">
        <v>0</v>
      </c>
      <c r="H66" t="b">
        <f t="shared" si="0"/>
        <v>0</v>
      </c>
      <c r="I66" t="b">
        <f t="shared" si="1"/>
        <v>1</v>
      </c>
      <c r="J66">
        <f t="shared" si="2"/>
        <v>0</v>
      </c>
    </row>
    <row r="67" spans="1:10" x14ac:dyDescent="0.35">
      <c r="A67" t="s">
        <v>172</v>
      </c>
      <c r="B67" t="s">
        <v>173</v>
      </c>
      <c r="C67" t="s">
        <v>174</v>
      </c>
      <c r="D67" t="s">
        <v>175</v>
      </c>
      <c r="E67" t="s">
        <v>176</v>
      </c>
      <c r="F67" t="b">
        <v>0</v>
      </c>
      <c r="G67" t="b">
        <v>0</v>
      </c>
      <c r="H67" t="b">
        <f t="shared" ref="H67:H130" si="3">C67=D67</f>
        <v>0</v>
      </c>
      <c r="I67" t="b">
        <f t="shared" ref="I67:I130" si="4">F67=H67</f>
        <v>1</v>
      </c>
      <c r="J67">
        <f t="shared" ref="J67:J130" si="5">IF(F67,1,0)</f>
        <v>0</v>
      </c>
    </row>
    <row r="68" spans="1:10" x14ac:dyDescent="0.35">
      <c r="A68" t="s">
        <v>177</v>
      </c>
      <c r="B68" t="s">
        <v>63</v>
      </c>
      <c r="C68" t="s">
        <v>18</v>
      </c>
      <c r="D68" t="s">
        <v>64</v>
      </c>
      <c r="E68" t="s">
        <v>65</v>
      </c>
      <c r="F68" t="b">
        <v>0</v>
      </c>
      <c r="G68" t="b">
        <v>0</v>
      </c>
      <c r="H68" t="b">
        <f t="shared" si="3"/>
        <v>0</v>
      </c>
      <c r="I68" t="b">
        <f t="shared" si="4"/>
        <v>1</v>
      </c>
      <c r="J68">
        <f t="shared" si="5"/>
        <v>0</v>
      </c>
    </row>
    <row r="69" spans="1:10" x14ac:dyDescent="0.35">
      <c r="A69" t="s">
        <v>178</v>
      </c>
      <c r="B69" t="s">
        <v>112</v>
      </c>
      <c r="C69" t="s">
        <v>113</v>
      </c>
      <c r="D69" t="s">
        <v>113</v>
      </c>
      <c r="E69" t="s">
        <v>114</v>
      </c>
      <c r="F69" t="b">
        <v>1</v>
      </c>
      <c r="G69" t="b">
        <v>1</v>
      </c>
      <c r="H69" t="b">
        <f t="shared" si="3"/>
        <v>1</v>
      </c>
      <c r="I69" t="b">
        <f t="shared" si="4"/>
        <v>1</v>
      </c>
      <c r="J69">
        <f t="shared" si="5"/>
        <v>1</v>
      </c>
    </row>
    <row r="70" spans="1:10" x14ac:dyDescent="0.35">
      <c r="A70" t="s">
        <v>179</v>
      </c>
      <c r="B70" t="s">
        <v>140</v>
      </c>
      <c r="C70" t="s">
        <v>97</v>
      </c>
      <c r="D70" t="s">
        <v>97</v>
      </c>
      <c r="E70" t="s">
        <v>117</v>
      </c>
      <c r="F70" t="b">
        <v>1</v>
      </c>
      <c r="G70" t="b">
        <v>1</v>
      </c>
      <c r="H70" t="b">
        <f t="shared" si="3"/>
        <v>1</v>
      </c>
      <c r="I70" t="b">
        <f t="shared" si="4"/>
        <v>1</v>
      </c>
      <c r="J70">
        <f t="shared" si="5"/>
        <v>1</v>
      </c>
    </row>
    <row r="71" spans="1:10" x14ac:dyDescent="0.35">
      <c r="A71" t="s">
        <v>180</v>
      </c>
      <c r="B71" t="s">
        <v>181</v>
      </c>
      <c r="C71" t="s">
        <v>18</v>
      </c>
      <c r="D71" t="s">
        <v>182</v>
      </c>
      <c r="E71" t="s">
        <v>183</v>
      </c>
      <c r="F71" t="b">
        <v>0</v>
      </c>
      <c r="G71" t="b">
        <v>1</v>
      </c>
      <c r="H71" t="b">
        <f t="shared" si="3"/>
        <v>0</v>
      </c>
      <c r="I71" t="b">
        <f t="shared" si="4"/>
        <v>1</v>
      </c>
      <c r="J71">
        <f t="shared" si="5"/>
        <v>0</v>
      </c>
    </row>
    <row r="72" spans="1:10" x14ac:dyDescent="0.35">
      <c r="A72" t="s">
        <v>184</v>
      </c>
      <c r="B72" t="s">
        <v>181</v>
      </c>
      <c r="C72" t="s">
        <v>18</v>
      </c>
      <c r="D72" t="s">
        <v>182</v>
      </c>
      <c r="E72" t="s">
        <v>183</v>
      </c>
      <c r="F72" t="b">
        <v>0</v>
      </c>
      <c r="G72" t="b">
        <v>1</v>
      </c>
      <c r="H72" t="b">
        <f t="shared" si="3"/>
        <v>0</v>
      </c>
      <c r="I72" t="b">
        <f t="shared" si="4"/>
        <v>1</v>
      </c>
      <c r="J72">
        <f t="shared" si="5"/>
        <v>0</v>
      </c>
    </row>
    <row r="73" spans="1:10" x14ac:dyDescent="0.35">
      <c r="A73" t="s">
        <v>185</v>
      </c>
      <c r="B73" t="s">
        <v>112</v>
      </c>
      <c r="C73" t="s">
        <v>113</v>
      </c>
      <c r="D73" t="s">
        <v>113</v>
      </c>
      <c r="E73" t="s">
        <v>114</v>
      </c>
      <c r="F73" t="b">
        <v>1</v>
      </c>
      <c r="G73" t="b">
        <v>1</v>
      </c>
      <c r="H73" t="b">
        <f t="shared" si="3"/>
        <v>1</v>
      </c>
      <c r="I73" t="b">
        <f t="shared" si="4"/>
        <v>1</v>
      </c>
      <c r="J73">
        <f t="shared" si="5"/>
        <v>1</v>
      </c>
    </row>
    <row r="74" spans="1:10" x14ac:dyDescent="0.35">
      <c r="A74" t="s">
        <v>186</v>
      </c>
      <c r="B74" t="s">
        <v>96</v>
      </c>
      <c r="C74" t="s">
        <v>97</v>
      </c>
      <c r="D74" t="s">
        <v>98</v>
      </c>
      <c r="E74" t="s">
        <v>99</v>
      </c>
      <c r="F74" t="b">
        <v>0</v>
      </c>
      <c r="G74" t="b">
        <v>0</v>
      </c>
      <c r="H74" t="b">
        <f t="shared" si="3"/>
        <v>0</v>
      </c>
      <c r="I74" t="b">
        <f t="shared" si="4"/>
        <v>1</v>
      </c>
      <c r="J74">
        <f t="shared" si="5"/>
        <v>0</v>
      </c>
    </row>
    <row r="75" spans="1:10" x14ac:dyDescent="0.35">
      <c r="A75" t="s">
        <v>187</v>
      </c>
      <c r="B75" t="s">
        <v>188</v>
      </c>
      <c r="C75" t="s">
        <v>38</v>
      </c>
      <c r="D75" t="s">
        <v>106</v>
      </c>
      <c r="E75" t="s">
        <v>107</v>
      </c>
      <c r="F75" t="b">
        <v>0</v>
      </c>
      <c r="G75" t="b">
        <v>0</v>
      </c>
      <c r="H75" t="b">
        <f t="shared" si="3"/>
        <v>0</v>
      </c>
      <c r="I75" t="b">
        <f t="shared" si="4"/>
        <v>1</v>
      </c>
      <c r="J75">
        <f t="shared" si="5"/>
        <v>0</v>
      </c>
    </row>
    <row r="76" spans="1:10" x14ac:dyDescent="0.35">
      <c r="A76" t="s">
        <v>189</v>
      </c>
      <c r="B76" t="s">
        <v>190</v>
      </c>
      <c r="C76" t="s">
        <v>106</v>
      </c>
      <c r="D76" t="s">
        <v>106</v>
      </c>
      <c r="E76" t="s">
        <v>110</v>
      </c>
      <c r="F76" t="b">
        <v>1</v>
      </c>
      <c r="G76" t="b">
        <v>1</v>
      </c>
      <c r="H76" t="b">
        <f t="shared" si="3"/>
        <v>1</v>
      </c>
      <c r="I76" t="b">
        <f t="shared" si="4"/>
        <v>1</v>
      </c>
      <c r="J76">
        <f t="shared" si="5"/>
        <v>1</v>
      </c>
    </row>
    <row r="77" spans="1:10" x14ac:dyDescent="0.35">
      <c r="A77" t="s">
        <v>191</v>
      </c>
      <c r="B77" t="s">
        <v>192</v>
      </c>
      <c r="C77" t="s">
        <v>193</v>
      </c>
      <c r="D77" t="s">
        <v>193</v>
      </c>
      <c r="E77" t="s">
        <v>194</v>
      </c>
      <c r="F77" t="b">
        <v>1</v>
      </c>
      <c r="G77" t="b">
        <v>1</v>
      </c>
      <c r="H77" t="b">
        <f t="shared" si="3"/>
        <v>1</v>
      </c>
      <c r="I77" t="b">
        <f t="shared" si="4"/>
        <v>1</v>
      </c>
      <c r="J77">
        <f t="shared" si="5"/>
        <v>1</v>
      </c>
    </row>
    <row r="78" spans="1:10" x14ac:dyDescent="0.35">
      <c r="A78" t="s">
        <v>195</v>
      </c>
      <c r="B78" t="s">
        <v>196</v>
      </c>
      <c r="C78" t="s">
        <v>197</v>
      </c>
      <c r="D78" t="s">
        <v>197</v>
      </c>
      <c r="E78" t="s">
        <v>198</v>
      </c>
      <c r="F78" t="b">
        <v>1</v>
      </c>
      <c r="G78" t="b">
        <v>1</v>
      </c>
      <c r="H78" t="b">
        <f t="shared" si="3"/>
        <v>1</v>
      </c>
      <c r="I78" t="b">
        <f t="shared" si="4"/>
        <v>1</v>
      </c>
      <c r="J78">
        <f t="shared" si="5"/>
        <v>1</v>
      </c>
    </row>
    <row r="79" spans="1:10" x14ac:dyDescent="0.35">
      <c r="A79" t="s">
        <v>199</v>
      </c>
      <c r="B79" t="s">
        <v>41</v>
      </c>
      <c r="C79" t="s">
        <v>9</v>
      </c>
      <c r="D79" t="s">
        <v>42</v>
      </c>
      <c r="E79" t="s">
        <v>43</v>
      </c>
      <c r="F79" t="b">
        <v>0</v>
      </c>
      <c r="G79" t="b">
        <v>0</v>
      </c>
      <c r="H79" t="b">
        <f t="shared" si="3"/>
        <v>0</v>
      </c>
      <c r="I79" t="b">
        <f t="shared" si="4"/>
        <v>1</v>
      </c>
      <c r="J79">
        <f t="shared" si="5"/>
        <v>0</v>
      </c>
    </row>
    <row r="80" spans="1:10" x14ac:dyDescent="0.35">
      <c r="A80" t="s">
        <v>200</v>
      </c>
      <c r="B80" t="s">
        <v>45</v>
      </c>
      <c r="C80" t="s">
        <v>46</v>
      </c>
      <c r="D80" t="s">
        <v>46</v>
      </c>
      <c r="E80" t="s">
        <v>47</v>
      </c>
      <c r="F80" t="b">
        <v>1</v>
      </c>
      <c r="G80" t="b">
        <v>1</v>
      </c>
      <c r="H80" t="b">
        <f t="shared" si="3"/>
        <v>1</v>
      </c>
      <c r="I80" t="b">
        <f t="shared" si="4"/>
        <v>1</v>
      </c>
      <c r="J80">
        <f t="shared" si="5"/>
        <v>1</v>
      </c>
    </row>
    <row r="81" spans="1:10" x14ac:dyDescent="0.35">
      <c r="A81" t="s">
        <v>201</v>
      </c>
      <c r="B81" t="s">
        <v>202</v>
      </c>
      <c r="C81" t="s">
        <v>203</v>
      </c>
      <c r="D81" t="s">
        <v>204</v>
      </c>
      <c r="E81" t="s">
        <v>205</v>
      </c>
      <c r="F81" t="b">
        <v>0</v>
      </c>
      <c r="G81" t="b">
        <v>0</v>
      </c>
      <c r="H81" t="b">
        <f t="shared" si="3"/>
        <v>0</v>
      </c>
      <c r="I81" t="b">
        <f t="shared" si="4"/>
        <v>1</v>
      </c>
      <c r="J81">
        <f t="shared" si="5"/>
        <v>0</v>
      </c>
    </row>
    <row r="82" spans="1:10" x14ac:dyDescent="0.35">
      <c r="A82" t="s">
        <v>206</v>
      </c>
      <c r="B82" t="s">
        <v>63</v>
      </c>
      <c r="C82" t="s">
        <v>18</v>
      </c>
      <c r="D82" t="s">
        <v>64</v>
      </c>
      <c r="E82" t="s">
        <v>65</v>
      </c>
      <c r="F82" t="b">
        <v>0</v>
      </c>
      <c r="G82" t="b">
        <v>0</v>
      </c>
      <c r="H82" t="b">
        <f t="shared" si="3"/>
        <v>0</v>
      </c>
      <c r="I82" t="b">
        <f t="shared" si="4"/>
        <v>1</v>
      </c>
      <c r="J82">
        <f t="shared" si="5"/>
        <v>0</v>
      </c>
    </row>
    <row r="83" spans="1:10" x14ac:dyDescent="0.35">
      <c r="A83" t="s">
        <v>207</v>
      </c>
      <c r="B83" t="s">
        <v>208</v>
      </c>
      <c r="C83" t="s">
        <v>209</v>
      </c>
      <c r="D83" t="s">
        <v>210</v>
      </c>
      <c r="E83" t="s">
        <v>211</v>
      </c>
      <c r="F83" t="b">
        <v>0</v>
      </c>
      <c r="G83" t="b">
        <v>0</v>
      </c>
      <c r="H83" t="b">
        <f t="shared" si="3"/>
        <v>0</v>
      </c>
      <c r="I83" t="b">
        <f t="shared" si="4"/>
        <v>1</v>
      </c>
      <c r="J83">
        <f t="shared" si="5"/>
        <v>0</v>
      </c>
    </row>
    <row r="84" spans="1:10" x14ac:dyDescent="0.35">
      <c r="A84" t="s">
        <v>212</v>
      </c>
      <c r="B84" t="s">
        <v>144</v>
      </c>
      <c r="C84" t="s">
        <v>9</v>
      </c>
      <c r="D84" t="s">
        <v>14</v>
      </c>
      <c r="E84" t="s">
        <v>145</v>
      </c>
      <c r="F84" t="b">
        <v>0</v>
      </c>
      <c r="G84" t="b">
        <v>0</v>
      </c>
      <c r="H84" t="b">
        <f t="shared" si="3"/>
        <v>0</v>
      </c>
      <c r="I84" t="b">
        <f t="shared" si="4"/>
        <v>1</v>
      </c>
      <c r="J84">
        <f t="shared" si="5"/>
        <v>0</v>
      </c>
    </row>
    <row r="85" spans="1:10" x14ac:dyDescent="0.35">
      <c r="A85" t="s">
        <v>213</v>
      </c>
      <c r="B85" t="s">
        <v>134</v>
      </c>
      <c r="C85" t="s">
        <v>57</v>
      </c>
      <c r="D85" t="s">
        <v>14</v>
      </c>
      <c r="E85" t="s">
        <v>135</v>
      </c>
      <c r="F85" t="b">
        <v>0</v>
      </c>
      <c r="G85" t="b">
        <v>0</v>
      </c>
      <c r="H85" t="b">
        <f t="shared" si="3"/>
        <v>0</v>
      </c>
      <c r="I85" t="b">
        <f t="shared" si="4"/>
        <v>1</v>
      </c>
      <c r="J85">
        <f t="shared" si="5"/>
        <v>0</v>
      </c>
    </row>
    <row r="86" spans="1:10" x14ac:dyDescent="0.35">
      <c r="A86" t="s">
        <v>214</v>
      </c>
      <c r="B86" t="s">
        <v>45</v>
      </c>
      <c r="C86" t="s">
        <v>46</v>
      </c>
      <c r="D86" t="s">
        <v>46</v>
      </c>
      <c r="E86" t="s">
        <v>47</v>
      </c>
      <c r="F86" t="b">
        <v>1</v>
      </c>
      <c r="G86" t="b">
        <v>1</v>
      </c>
      <c r="H86" t="b">
        <f t="shared" si="3"/>
        <v>1</v>
      </c>
      <c r="I86" t="b">
        <f t="shared" si="4"/>
        <v>1</v>
      </c>
      <c r="J86">
        <f t="shared" si="5"/>
        <v>1</v>
      </c>
    </row>
    <row r="87" spans="1:10" x14ac:dyDescent="0.35">
      <c r="A87" t="s">
        <v>215</v>
      </c>
      <c r="B87" t="s">
        <v>63</v>
      </c>
      <c r="C87" t="s">
        <v>18</v>
      </c>
      <c r="D87" t="s">
        <v>64</v>
      </c>
      <c r="E87" t="s">
        <v>65</v>
      </c>
      <c r="F87" t="b">
        <v>0</v>
      </c>
      <c r="G87" t="b">
        <v>0</v>
      </c>
      <c r="H87" t="b">
        <f t="shared" si="3"/>
        <v>0</v>
      </c>
      <c r="I87" t="b">
        <f t="shared" si="4"/>
        <v>1</v>
      </c>
      <c r="J87">
        <f t="shared" si="5"/>
        <v>0</v>
      </c>
    </row>
    <row r="88" spans="1:10" x14ac:dyDescent="0.35">
      <c r="A88" t="s">
        <v>216</v>
      </c>
      <c r="B88" t="s">
        <v>217</v>
      </c>
      <c r="C88" t="s">
        <v>9</v>
      </c>
      <c r="D88" t="s">
        <v>14</v>
      </c>
      <c r="E88" t="s">
        <v>218</v>
      </c>
      <c r="F88" t="b">
        <v>0</v>
      </c>
      <c r="G88" t="b">
        <v>0</v>
      </c>
      <c r="H88" t="b">
        <f t="shared" si="3"/>
        <v>0</v>
      </c>
      <c r="I88" t="b">
        <f t="shared" si="4"/>
        <v>1</v>
      </c>
      <c r="J88">
        <f t="shared" si="5"/>
        <v>0</v>
      </c>
    </row>
    <row r="89" spans="1:10" x14ac:dyDescent="0.35">
      <c r="A89" t="s">
        <v>219</v>
      </c>
      <c r="B89" t="s">
        <v>220</v>
      </c>
      <c r="C89" t="s">
        <v>9</v>
      </c>
      <c r="D89" t="s">
        <v>14</v>
      </c>
      <c r="E89" t="s">
        <v>221</v>
      </c>
      <c r="F89" t="b">
        <v>0</v>
      </c>
      <c r="G89" t="b">
        <v>0</v>
      </c>
      <c r="H89" t="b">
        <f t="shared" si="3"/>
        <v>0</v>
      </c>
      <c r="I89" t="b">
        <f t="shared" si="4"/>
        <v>1</v>
      </c>
      <c r="J89">
        <f t="shared" si="5"/>
        <v>0</v>
      </c>
    </row>
    <row r="90" spans="1:10" x14ac:dyDescent="0.35">
      <c r="A90" t="s">
        <v>222</v>
      </c>
      <c r="B90" t="s">
        <v>188</v>
      </c>
      <c r="C90" t="s">
        <v>38</v>
      </c>
      <c r="D90" t="s">
        <v>106</v>
      </c>
      <c r="E90" t="s">
        <v>107</v>
      </c>
      <c r="F90" t="b">
        <v>0</v>
      </c>
      <c r="G90" t="b">
        <v>0</v>
      </c>
      <c r="H90" t="b">
        <f t="shared" si="3"/>
        <v>0</v>
      </c>
      <c r="I90" t="b">
        <f t="shared" si="4"/>
        <v>1</v>
      </c>
      <c r="J90">
        <f t="shared" si="5"/>
        <v>0</v>
      </c>
    </row>
    <row r="91" spans="1:10" x14ac:dyDescent="0.35">
      <c r="A91" t="s">
        <v>223</v>
      </c>
      <c r="B91" t="s">
        <v>190</v>
      </c>
      <c r="C91" t="s">
        <v>106</v>
      </c>
      <c r="D91" t="s">
        <v>106</v>
      </c>
      <c r="E91" t="s">
        <v>110</v>
      </c>
      <c r="F91" t="b">
        <v>1</v>
      </c>
      <c r="G91" t="b">
        <v>1</v>
      </c>
      <c r="H91" t="b">
        <f t="shared" si="3"/>
        <v>1</v>
      </c>
      <c r="I91" t="b">
        <f t="shared" si="4"/>
        <v>1</v>
      </c>
      <c r="J91">
        <f t="shared" si="5"/>
        <v>1</v>
      </c>
    </row>
    <row r="92" spans="1:10" x14ac:dyDescent="0.35">
      <c r="A92" t="s">
        <v>224</v>
      </c>
      <c r="B92" t="s">
        <v>192</v>
      </c>
      <c r="C92" t="s">
        <v>193</v>
      </c>
      <c r="D92" t="s">
        <v>193</v>
      </c>
      <c r="E92" t="s">
        <v>194</v>
      </c>
      <c r="F92" t="b">
        <v>1</v>
      </c>
      <c r="G92" t="b">
        <v>1</v>
      </c>
      <c r="H92" t="b">
        <f t="shared" si="3"/>
        <v>1</v>
      </c>
      <c r="I92" t="b">
        <f t="shared" si="4"/>
        <v>1</v>
      </c>
      <c r="J92">
        <f t="shared" si="5"/>
        <v>1</v>
      </c>
    </row>
    <row r="93" spans="1:10" x14ac:dyDescent="0.35">
      <c r="A93" t="s">
        <v>225</v>
      </c>
      <c r="B93" t="s">
        <v>80</v>
      </c>
      <c r="C93" t="s">
        <v>18</v>
      </c>
      <c r="D93" t="s">
        <v>14</v>
      </c>
      <c r="E93" t="s">
        <v>81</v>
      </c>
      <c r="F93" t="b">
        <v>0</v>
      </c>
      <c r="G93" t="b">
        <v>0</v>
      </c>
      <c r="H93" t="b">
        <f t="shared" si="3"/>
        <v>0</v>
      </c>
      <c r="I93" t="b">
        <f t="shared" si="4"/>
        <v>1</v>
      </c>
      <c r="J93">
        <f t="shared" si="5"/>
        <v>0</v>
      </c>
    </row>
    <row r="94" spans="1:10" x14ac:dyDescent="0.35">
      <c r="A94" t="s">
        <v>226</v>
      </c>
      <c r="B94" t="s">
        <v>112</v>
      </c>
      <c r="C94" t="s">
        <v>113</v>
      </c>
      <c r="D94" t="s">
        <v>113</v>
      </c>
      <c r="E94" t="s">
        <v>114</v>
      </c>
      <c r="F94" t="b">
        <v>1</v>
      </c>
      <c r="G94" t="b">
        <v>1</v>
      </c>
      <c r="H94" t="b">
        <f t="shared" si="3"/>
        <v>1</v>
      </c>
      <c r="I94" t="b">
        <f t="shared" si="4"/>
        <v>1</v>
      </c>
      <c r="J94">
        <f t="shared" si="5"/>
        <v>1</v>
      </c>
    </row>
    <row r="95" spans="1:10" x14ac:dyDescent="0.35">
      <c r="A95" t="s">
        <v>227</v>
      </c>
      <c r="B95" t="s">
        <v>83</v>
      </c>
      <c r="C95" t="s">
        <v>18</v>
      </c>
      <c r="D95" t="s">
        <v>14</v>
      </c>
      <c r="E95" t="s">
        <v>84</v>
      </c>
      <c r="F95" t="b">
        <v>0</v>
      </c>
      <c r="G95" t="b">
        <v>0</v>
      </c>
      <c r="H95" t="b">
        <f t="shared" si="3"/>
        <v>0</v>
      </c>
      <c r="I95" t="b">
        <f t="shared" si="4"/>
        <v>1</v>
      </c>
      <c r="J95">
        <f t="shared" si="5"/>
        <v>0</v>
      </c>
    </row>
    <row r="96" spans="1:10" x14ac:dyDescent="0.35">
      <c r="A96" t="s">
        <v>228</v>
      </c>
      <c r="B96" t="s">
        <v>86</v>
      </c>
      <c r="C96" t="s">
        <v>18</v>
      </c>
      <c r="D96" t="s">
        <v>87</v>
      </c>
      <c r="E96" t="s">
        <v>88</v>
      </c>
      <c r="F96" t="b">
        <v>0</v>
      </c>
      <c r="G96" t="b">
        <v>0</v>
      </c>
      <c r="H96" t="b">
        <f t="shared" si="3"/>
        <v>0</v>
      </c>
      <c r="I96" t="b">
        <f t="shared" si="4"/>
        <v>1</v>
      </c>
      <c r="J96">
        <f t="shared" si="5"/>
        <v>0</v>
      </c>
    </row>
    <row r="97" spans="1:10" x14ac:dyDescent="0.35">
      <c r="A97" t="s">
        <v>229</v>
      </c>
      <c r="B97" t="s">
        <v>140</v>
      </c>
      <c r="C97" t="s">
        <v>97</v>
      </c>
      <c r="D97" t="s">
        <v>97</v>
      </c>
      <c r="E97" t="s">
        <v>117</v>
      </c>
      <c r="F97" t="b">
        <v>1</v>
      </c>
      <c r="G97" t="b">
        <v>1</v>
      </c>
      <c r="H97" t="b">
        <f t="shared" si="3"/>
        <v>1</v>
      </c>
      <c r="I97" t="b">
        <f t="shared" si="4"/>
        <v>1</v>
      </c>
      <c r="J97">
        <f t="shared" si="5"/>
        <v>1</v>
      </c>
    </row>
    <row r="98" spans="1:10" x14ac:dyDescent="0.35">
      <c r="A98" t="s">
        <v>230</v>
      </c>
      <c r="B98" t="s">
        <v>24</v>
      </c>
      <c r="C98" t="s">
        <v>25</v>
      </c>
      <c r="D98" t="s">
        <v>25</v>
      </c>
      <c r="E98" t="s">
        <v>26</v>
      </c>
      <c r="F98" t="b">
        <v>1</v>
      </c>
      <c r="G98" t="b">
        <v>1</v>
      </c>
      <c r="H98" t="b">
        <f t="shared" si="3"/>
        <v>1</v>
      </c>
      <c r="I98" t="b">
        <f t="shared" si="4"/>
        <v>1</v>
      </c>
      <c r="J98">
        <f t="shared" si="5"/>
        <v>1</v>
      </c>
    </row>
    <row r="99" spans="1:10" x14ac:dyDescent="0.35">
      <c r="A99" t="s">
        <v>231</v>
      </c>
      <c r="B99" t="s">
        <v>63</v>
      </c>
      <c r="C99" t="s">
        <v>18</v>
      </c>
      <c r="D99" t="s">
        <v>64</v>
      </c>
      <c r="E99" t="s">
        <v>65</v>
      </c>
      <c r="F99" t="b">
        <v>0</v>
      </c>
      <c r="G99" t="b">
        <v>0</v>
      </c>
      <c r="H99" t="b">
        <f t="shared" si="3"/>
        <v>0</v>
      </c>
      <c r="I99" t="b">
        <f t="shared" si="4"/>
        <v>1</v>
      </c>
      <c r="J99">
        <f t="shared" si="5"/>
        <v>0</v>
      </c>
    </row>
    <row r="100" spans="1:10" x14ac:dyDescent="0.35">
      <c r="A100" t="s">
        <v>232</v>
      </c>
      <c r="B100" t="s">
        <v>63</v>
      </c>
      <c r="C100" t="s">
        <v>18</v>
      </c>
      <c r="D100" t="s">
        <v>64</v>
      </c>
      <c r="E100" t="s">
        <v>65</v>
      </c>
      <c r="F100" t="b">
        <v>0</v>
      </c>
      <c r="G100" t="b">
        <v>0</v>
      </c>
      <c r="H100" t="b">
        <f t="shared" si="3"/>
        <v>0</v>
      </c>
      <c r="I100" t="b">
        <f t="shared" si="4"/>
        <v>1</v>
      </c>
      <c r="J100">
        <f t="shared" si="5"/>
        <v>0</v>
      </c>
    </row>
    <row r="101" spans="1:10" x14ac:dyDescent="0.35">
      <c r="A101" t="s">
        <v>233</v>
      </c>
      <c r="B101" t="s">
        <v>234</v>
      </c>
      <c r="C101" t="s">
        <v>170</v>
      </c>
      <c r="D101" t="s">
        <v>235</v>
      </c>
      <c r="E101" t="s">
        <v>236</v>
      </c>
      <c r="F101" t="b">
        <v>0</v>
      </c>
      <c r="G101" t="b">
        <v>0</v>
      </c>
      <c r="H101" t="b">
        <f t="shared" si="3"/>
        <v>0</v>
      </c>
      <c r="I101" t="b">
        <f t="shared" si="4"/>
        <v>1</v>
      </c>
      <c r="J101">
        <f t="shared" si="5"/>
        <v>0</v>
      </c>
    </row>
    <row r="102" spans="1:10" x14ac:dyDescent="0.35">
      <c r="A102" t="s">
        <v>237</v>
      </c>
      <c r="B102" t="s">
        <v>238</v>
      </c>
      <c r="C102" t="s">
        <v>239</v>
      </c>
      <c r="D102" t="s">
        <v>240</v>
      </c>
      <c r="E102" t="s">
        <v>241</v>
      </c>
      <c r="F102" t="b">
        <v>0</v>
      </c>
      <c r="G102" t="b">
        <v>0</v>
      </c>
      <c r="H102" t="b">
        <f t="shared" si="3"/>
        <v>0</v>
      </c>
      <c r="I102" t="b">
        <f t="shared" si="4"/>
        <v>1</v>
      </c>
      <c r="J102">
        <f t="shared" si="5"/>
        <v>0</v>
      </c>
    </row>
    <row r="103" spans="1:10" x14ac:dyDescent="0.35">
      <c r="A103" t="s">
        <v>242</v>
      </c>
      <c r="B103" t="s">
        <v>243</v>
      </c>
      <c r="C103" t="s">
        <v>244</v>
      </c>
      <c r="D103" t="s">
        <v>244</v>
      </c>
      <c r="E103" t="s">
        <v>245</v>
      </c>
      <c r="F103" t="b">
        <v>1</v>
      </c>
      <c r="G103" t="b">
        <v>1</v>
      </c>
      <c r="H103" t="b">
        <f t="shared" si="3"/>
        <v>1</v>
      </c>
      <c r="I103" t="b">
        <f t="shared" si="4"/>
        <v>1</v>
      </c>
      <c r="J103">
        <f t="shared" si="5"/>
        <v>1</v>
      </c>
    </row>
    <row r="104" spans="1:10" x14ac:dyDescent="0.35">
      <c r="A104" t="s">
        <v>246</v>
      </c>
      <c r="B104" t="s">
        <v>238</v>
      </c>
      <c r="C104" t="s">
        <v>239</v>
      </c>
      <c r="D104" t="s">
        <v>240</v>
      </c>
      <c r="E104" t="s">
        <v>241</v>
      </c>
      <c r="F104" t="b">
        <v>0</v>
      </c>
      <c r="G104" t="b">
        <v>0</v>
      </c>
      <c r="H104" t="b">
        <f t="shared" si="3"/>
        <v>0</v>
      </c>
      <c r="I104" t="b">
        <f t="shared" si="4"/>
        <v>1</v>
      </c>
      <c r="J104">
        <f t="shared" si="5"/>
        <v>0</v>
      </c>
    </row>
    <row r="105" spans="1:10" x14ac:dyDescent="0.35">
      <c r="A105" t="s">
        <v>247</v>
      </c>
      <c r="B105" t="s">
        <v>243</v>
      </c>
      <c r="C105" t="s">
        <v>244</v>
      </c>
      <c r="D105" t="s">
        <v>244</v>
      </c>
      <c r="E105" t="s">
        <v>245</v>
      </c>
      <c r="F105" t="b">
        <v>1</v>
      </c>
      <c r="G105" t="b">
        <v>1</v>
      </c>
      <c r="H105" t="b">
        <f t="shared" si="3"/>
        <v>1</v>
      </c>
      <c r="I105" t="b">
        <f t="shared" si="4"/>
        <v>1</v>
      </c>
      <c r="J105">
        <f t="shared" si="5"/>
        <v>1</v>
      </c>
    </row>
    <row r="106" spans="1:10" x14ac:dyDescent="0.35">
      <c r="A106" t="s">
        <v>248</v>
      </c>
      <c r="B106" t="s">
        <v>238</v>
      </c>
      <c r="C106" t="s">
        <v>239</v>
      </c>
      <c r="D106" t="s">
        <v>240</v>
      </c>
      <c r="E106" t="s">
        <v>241</v>
      </c>
      <c r="F106" t="b">
        <v>0</v>
      </c>
      <c r="G106" t="b">
        <v>0</v>
      </c>
      <c r="H106" t="b">
        <f t="shared" si="3"/>
        <v>0</v>
      </c>
      <c r="I106" t="b">
        <f t="shared" si="4"/>
        <v>1</v>
      </c>
      <c r="J106">
        <f t="shared" si="5"/>
        <v>0</v>
      </c>
    </row>
    <row r="107" spans="1:10" x14ac:dyDescent="0.35">
      <c r="A107" t="s">
        <v>249</v>
      </c>
      <c r="B107" t="s">
        <v>243</v>
      </c>
      <c r="C107" t="s">
        <v>244</v>
      </c>
      <c r="D107" t="s">
        <v>244</v>
      </c>
      <c r="E107" t="s">
        <v>245</v>
      </c>
      <c r="F107" t="b">
        <v>1</v>
      </c>
      <c r="G107" t="b">
        <v>1</v>
      </c>
      <c r="H107" t="b">
        <f t="shared" si="3"/>
        <v>1</v>
      </c>
      <c r="I107" t="b">
        <f t="shared" si="4"/>
        <v>1</v>
      </c>
      <c r="J107">
        <f t="shared" si="5"/>
        <v>1</v>
      </c>
    </row>
    <row r="108" spans="1:10" x14ac:dyDescent="0.35">
      <c r="A108" t="s">
        <v>250</v>
      </c>
      <c r="B108" t="s">
        <v>251</v>
      </c>
      <c r="C108" t="s">
        <v>9</v>
      </c>
      <c r="D108" t="s">
        <v>14</v>
      </c>
      <c r="E108" t="s">
        <v>252</v>
      </c>
      <c r="F108" t="b">
        <v>0</v>
      </c>
      <c r="G108" t="b">
        <v>0</v>
      </c>
      <c r="H108" t="b">
        <f t="shared" si="3"/>
        <v>0</v>
      </c>
      <c r="I108" t="b">
        <f t="shared" si="4"/>
        <v>1</v>
      </c>
      <c r="J108">
        <f t="shared" si="5"/>
        <v>0</v>
      </c>
    </row>
    <row r="109" spans="1:10" x14ac:dyDescent="0.35">
      <c r="A109" t="s">
        <v>253</v>
      </c>
      <c r="B109" t="s">
        <v>254</v>
      </c>
      <c r="C109" t="s">
        <v>9</v>
      </c>
      <c r="D109" t="s">
        <v>255</v>
      </c>
      <c r="E109" t="s">
        <v>256</v>
      </c>
      <c r="F109" t="b">
        <v>0</v>
      </c>
      <c r="G109" t="b">
        <v>0</v>
      </c>
      <c r="H109" t="b">
        <f t="shared" si="3"/>
        <v>0</v>
      </c>
      <c r="I109" t="b">
        <f t="shared" si="4"/>
        <v>1</v>
      </c>
      <c r="J109">
        <f t="shared" si="5"/>
        <v>0</v>
      </c>
    </row>
    <row r="110" spans="1:10" x14ac:dyDescent="0.35">
      <c r="A110" t="s">
        <v>257</v>
      </c>
      <c r="B110" t="s">
        <v>24</v>
      </c>
      <c r="C110" t="s">
        <v>25</v>
      </c>
      <c r="D110" t="s">
        <v>25</v>
      </c>
      <c r="E110" t="s">
        <v>26</v>
      </c>
      <c r="F110" t="b">
        <v>1</v>
      </c>
      <c r="G110" t="b">
        <v>1</v>
      </c>
      <c r="H110" t="b">
        <f t="shared" si="3"/>
        <v>1</v>
      </c>
      <c r="I110" t="b">
        <f t="shared" si="4"/>
        <v>1</v>
      </c>
      <c r="J110">
        <f t="shared" si="5"/>
        <v>1</v>
      </c>
    </row>
    <row r="111" spans="1:10" x14ac:dyDescent="0.35">
      <c r="A111" t="s">
        <v>258</v>
      </c>
      <c r="B111" t="s">
        <v>102</v>
      </c>
      <c r="C111" t="s">
        <v>46</v>
      </c>
      <c r="D111" t="s">
        <v>46</v>
      </c>
      <c r="E111" t="s">
        <v>47</v>
      </c>
      <c r="F111" t="b">
        <v>1</v>
      </c>
      <c r="G111" t="b">
        <v>1</v>
      </c>
      <c r="H111" t="b">
        <f t="shared" si="3"/>
        <v>1</v>
      </c>
      <c r="I111" t="b">
        <f t="shared" si="4"/>
        <v>1</v>
      </c>
      <c r="J111">
        <f t="shared" si="5"/>
        <v>1</v>
      </c>
    </row>
    <row r="112" spans="1:10" x14ac:dyDescent="0.35">
      <c r="A112" t="s">
        <v>259</v>
      </c>
      <c r="B112" t="s">
        <v>260</v>
      </c>
      <c r="C112" t="s">
        <v>18</v>
      </c>
      <c r="D112" t="s">
        <v>14</v>
      </c>
      <c r="E112" t="s">
        <v>261</v>
      </c>
      <c r="F112" t="b">
        <v>0</v>
      </c>
      <c r="G112" t="b">
        <v>1</v>
      </c>
      <c r="H112" t="b">
        <f t="shared" si="3"/>
        <v>0</v>
      </c>
      <c r="I112" t="b">
        <f t="shared" si="4"/>
        <v>1</v>
      </c>
      <c r="J112">
        <f t="shared" si="5"/>
        <v>0</v>
      </c>
    </row>
    <row r="113" spans="1:10" x14ac:dyDescent="0.35">
      <c r="A113" t="s">
        <v>262</v>
      </c>
      <c r="B113" t="s">
        <v>120</v>
      </c>
      <c r="C113" t="s">
        <v>68</v>
      </c>
      <c r="D113" t="s">
        <v>68</v>
      </c>
      <c r="E113" t="s">
        <v>69</v>
      </c>
      <c r="F113" t="b">
        <v>1</v>
      </c>
      <c r="G113" t="b">
        <v>1</v>
      </c>
      <c r="H113" t="b">
        <f t="shared" si="3"/>
        <v>1</v>
      </c>
      <c r="I113" t="b">
        <f t="shared" si="4"/>
        <v>1</v>
      </c>
      <c r="J113">
        <f t="shared" si="5"/>
        <v>1</v>
      </c>
    </row>
    <row r="114" spans="1:10" x14ac:dyDescent="0.35">
      <c r="A114" t="s">
        <v>263</v>
      </c>
      <c r="B114" t="s">
        <v>264</v>
      </c>
      <c r="C114" t="s">
        <v>25</v>
      </c>
      <c r="D114" t="s">
        <v>25</v>
      </c>
      <c r="E114" t="s">
        <v>26</v>
      </c>
      <c r="F114" t="b">
        <v>1</v>
      </c>
      <c r="G114" t="b">
        <v>1</v>
      </c>
      <c r="H114" t="b">
        <f t="shared" si="3"/>
        <v>1</v>
      </c>
      <c r="I114" t="b">
        <f t="shared" si="4"/>
        <v>1</v>
      </c>
      <c r="J114">
        <f t="shared" si="5"/>
        <v>1</v>
      </c>
    </row>
    <row r="115" spans="1:10" x14ac:dyDescent="0.35">
      <c r="A115" t="s">
        <v>265</v>
      </c>
      <c r="B115" t="s">
        <v>266</v>
      </c>
      <c r="C115" t="s">
        <v>18</v>
      </c>
      <c r="D115" t="s">
        <v>18</v>
      </c>
      <c r="E115" t="s">
        <v>267</v>
      </c>
      <c r="F115" t="b">
        <v>1</v>
      </c>
      <c r="G115" t="b">
        <v>1</v>
      </c>
      <c r="H115" t="b">
        <f t="shared" si="3"/>
        <v>1</v>
      </c>
      <c r="I115" t="b">
        <f t="shared" si="4"/>
        <v>1</v>
      </c>
      <c r="J115">
        <f t="shared" si="5"/>
        <v>1</v>
      </c>
    </row>
    <row r="116" spans="1:10" x14ac:dyDescent="0.35">
      <c r="A116" t="s">
        <v>268</v>
      </c>
      <c r="B116" t="s">
        <v>102</v>
      </c>
      <c r="C116" t="s">
        <v>46</v>
      </c>
      <c r="D116" t="s">
        <v>46</v>
      </c>
      <c r="E116" t="s">
        <v>47</v>
      </c>
      <c r="F116" t="b">
        <v>1</v>
      </c>
      <c r="G116" t="b">
        <v>1</v>
      </c>
      <c r="H116" t="b">
        <f t="shared" si="3"/>
        <v>1</v>
      </c>
      <c r="I116" t="b">
        <f t="shared" si="4"/>
        <v>1</v>
      </c>
      <c r="J116">
        <f t="shared" si="5"/>
        <v>1</v>
      </c>
    </row>
    <row r="117" spans="1:10" x14ac:dyDescent="0.35">
      <c r="A117" t="s">
        <v>269</v>
      </c>
      <c r="B117" t="s">
        <v>63</v>
      </c>
      <c r="C117" t="s">
        <v>18</v>
      </c>
      <c r="D117" t="s">
        <v>64</v>
      </c>
      <c r="E117" t="s">
        <v>65</v>
      </c>
      <c r="F117" t="b">
        <v>0</v>
      </c>
      <c r="G117" t="b">
        <v>0</v>
      </c>
      <c r="H117" t="b">
        <f t="shared" si="3"/>
        <v>0</v>
      </c>
      <c r="I117" t="b">
        <f t="shared" si="4"/>
        <v>1</v>
      </c>
      <c r="J117">
        <f t="shared" si="5"/>
        <v>0</v>
      </c>
    </row>
    <row r="118" spans="1:10" x14ac:dyDescent="0.35">
      <c r="A118" t="s">
        <v>270</v>
      </c>
      <c r="B118" t="s">
        <v>56</v>
      </c>
      <c r="C118" t="s">
        <v>57</v>
      </c>
      <c r="D118" t="s">
        <v>58</v>
      </c>
      <c r="E118" t="s">
        <v>59</v>
      </c>
      <c r="F118" t="b">
        <v>0</v>
      </c>
      <c r="G118" t="b">
        <v>0</v>
      </c>
      <c r="H118" t="b">
        <f t="shared" si="3"/>
        <v>0</v>
      </c>
      <c r="I118" t="b">
        <f t="shared" si="4"/>
        <v>1</v>
      </c>
      <c r="J118">
        <f t="shared" si="5"/>
        <v>0</v>
      </c>
    </row>
    <row r="119" spans="1:10" x14ac:dyDescent="0.35">
      <c r="A119" t="s">
        <v>271</v>
      </c>
      <c r="B119" t="s">
        <v>102</v>
      </c>
      <c r="C119" t="s">
        <v>46</v>
      </c>
      <c r="D119" t="s">
        <v>46</v>
      </c>
      <c r="E119" t="s">
        <v>47</v>
      </c>
      <c r="F119" t="b">
        <v>1</v>
      </c>
      <c r="G119" t="b">
        <v>1</v>
      </c>
      <c r="H119" t="b">
        <f t="shared" si="3"/>
        <v>1</v>
      </c>
      <c r="I119" t="b">
        <f t="shared" si="4"/>
        <v>1</v>
      </c>
      <c r="J119">
        <f t="shared" si="5"/>
        <v>1</v>
      </c>
    </row>
    <row r="120" spans="1:10" x14ac:dyDescent="0.35">
      <c r="A120" t="s">
        <v>272</v>
      </c>
      <c r="B120" t="s">
        <v>63</v>
      </c>
      <c r="C120" t="s">
        <v>18</v>
      </c>
      <c r="D120" t="s">
        <v>64</v>
      </c>
      <c r="E120" t="s">
        <v>65</v>
      </c>
      <c r="F120" t="b">
        <v>0</v>
      </c>
      <c r="G120" t="b">
        <v>0</v>
      </c>
      <c r="H120" t="b">
        <f t="shared" si="3"/>
        <v>0</v>
      </c>
      <c r="I120" t="b">
        <f t="shared" si="4"/>
        <v>1</v>
      </c>
      <c r="J120">
        <f t="shared" si="5"/>
        <v>0</v>
      </c>
    </row>
    <row r="121" spans="1:10" x14ac:dyDescent="0.35">
      <c r="A121" t="s">
        <v>273</v>
      </c>
      <c r="B121" t="s">
        <v>274</v>
      </c>
      <c r="C121" t="s">
        <v>275</v>
      </c>
      <c r="D121" t="s">
        <v>276</v>
      </c>
      <c r="E121" t="s">
        <v>277</v>
      </c>
      <c r="F121" t="b">
        <v>0</v>
      </c>
      <c r="G121" t="b">
        <v>0</v>
      </c>
      <c r="H121" t="b">
        <f t="shared" si="3"/>
        <v>0</v>
      </c>
      <c r="I121" t="b">
        <f t="shared" si="4"/>
        <v>1</v>
      </c>
      <c r="J121">
        <f t="shared" si="5"/>
        <v>0</v>
      </c>
    </row>
    <row r="122" spans="1:10" x14ac:dyDescent="0.35">
      <c r="A122" t="s">
        <v>278</v>
      </c>
      <c r="B122" t="s">
        <v>279</v>
      </c>
      <c r="C122" t="s">
        <v>280</v>
      </c>
      <c r="D122" t="s">
        <v>14</v>
      </c>
      <c r="E122" t="s">
        <v>281</v>
      </c>
      <c r="F122" t="b">
        <v>0</v>
      </c>
      <c r="G122" t="b">
        <v>0</v>
      </c>
      <c r="H122" t="b">
        <f t="shared" si="3"/>
        <v>0</v>
      </c>
      <c r="I122" t="b">
        <f t="shared" si="4"/>
        <v>1</v>
      </c>
      <c r="J122">
        <f t="shared" si="5"/>
        <v>0</v>
      </c>
    </row>
    <row r="123" spans="1:10" x14ac:dyDescent="0.35">
      <c r="A123" t="s">
        <v>282</v>
      </c>
      <c r="B123" t="s">
        <v>283</v>
      </c>
      <c r="C123" t="s">
        <v>209</v>
      </c>
      <c r="D123" t="s">
        <v>14</v>
      </c>
      <c r="E123" t="s">
        <v>284</v>
      </c>
      <c r="F123" t="b">
        <v>0</v>
      </c>
      <c r="G123" t="b">
        <v>0</v>
      </c>
      <c r="H123" t="b">
        <f t="shared" si="3"/>
        <v>0</v>
      </c>
      <c r="I123" t="b">
        <f t="shared" si="4"/>
        <v>1</v>
      </c>
      <c r="J123">
        <f t="shared" si="5"/>
        <v>0</v>
      </c>
    </row>
    <row r="124" spans="1:10" x14ac:dyDescent="0.35">
      <c r="A124" t="s">
        <v>285</v>
      </c>
      <c r="B124" t="s">
        <v>238</v>
      </c>
      <c r="C124" t="s">
        <v>239</v>
      </c>
      <c r="D124" t="s">
        <v>240</v>
      </c>
      <c r="E124" t="s">
        <v>241</v>
      </c>
      <c r="F124" t="b">
        <v>0</v>
      </c>
      <c r="G124" t="b">
        <v>0</v>
      </c>
      <c r="H124" t="b">
        <f t="shared" si="3"/>
        <v>0</v>
      </c>
      <c r="I124" t="b">
        <f t="shared" si="4"/>
        <v>1</v>
      </c>
      <c r="J124">
        <f t="shared" si="5"/>
        <v>0</v>
      </c>
    </row>
    <row r="125" spans="1:10" x14ac:dyDescent="0.35">
      <c r="A125" t="s">
        <v>286</v>
      </c>
      <c r="B125" t="s">
        <v>287</v>
      </c>
      <c r="C125" t="s">
        <v>288</v>
      </c>
      <c r="D125" t="s">
        <v>288</v>
      </c>
      <c r="E125" t="s">
        <v>289</v>
      </c>
      <c r="F125" t="b">
        <v>1</v>
      </c>
      <c r="G125" t="b">
        <v>1</v>
      </c>
      <c r="H125" t="b">
        <f t="shared" si="3"/>
        <v>1</v>
      </c>
      <c r="I125" t="b">
        <f t="shared" si="4"/>
        <v>1</v>
      </c>
      <c r="J125">
        <f t="shared" si="5"/>
        <v>1</v>
      </c>
    </row>
    <row r="126" spans="1:10" x14ac:dyDescent="0.35">
      <c r="A126" t="s">
        <v>290</v>
      </c>
      <c r="B126" t="s">
        <v>291</v>
      </c>
      <c r="C126" t="s">
        <v>292</v>
      </c>
      <c r="D126" t="s">
        <v>14</v>
      </c>
      <c r="E126" t="s">
        <v>293</v>
      </c>
      <c r="F126" t="b">
        <v>0</v>
      </c>
      <c r="G126" t="b">
        <v>0</v>
      </c>
      <c r="H126" t="b">
        <f t="shared" si="3"/>
        <v>0</v>
      </c>
      <c r="I126" t="b">
        <f t="shared" si="4"/>
        <v>1</v>
      </c>
      <c r="J126">
        <f t="shared" si="5"/>
        <v>0</v>
      </c>
    </row>
    <row r="127" spans="1:10" x14ac:dyDescent="0.35">
      <c r="A127" t="s">
        <v>294</v>
      </c>
      <c r="B127" t="s">
        <v>63</v>
      </c>
      <c r="C127" t="s">
        <v>18</v>
      </c>
      <c r="D127" t="s">
        <v>64</v>
      </c>
      <c r="E127" t="s">
        <v>65</v>
      </c>
      <c r="F127" t="b">
        <v>0</v>
      </c>
      <c r="G127" t="b">
        <v>0</v>
      </c>
      <c r="H127" t="b">
        <f t="shared" si="3"/>
        <v>0</v>
      </c>
      <c r="I127" t="b">
        <f t="shared" si="4"/>
        <v>1</v>
      </c>
      <c r="J127">
        <f t="shared" si="5"/>
        <v>0</v>
      </c>
    </row>
    <row r="128" spans="1:10" x14ac:dyDescent="0.35">
      <c r="A128" t="s">
        <v>295</v>
      </c>
      <c r="B128" t="s">
        <v>296</v>
      </c>
      <c r="C128" t="s">
        <v>297</v>
      </c>
      <c r="D128" t="s">
        <v>297</v>
      </c>
      <c r="E128" t="s">
        <v>298</v>
      </c>
      <c r="F128" t="b">
        <v>1</v>
      </c>
      <c r="G128" t="b">
        <v>1</v>
      </c>
      <c r="H128" t="b">
        <f t="shared" si="3"/>
        <v>1</v>
      </c>
      <c r="I128" t="b">
        <f t="shared" si="4"/>
        <v>1</v>
      </c>
      <c r="J128">
        <f t="shared" si="5"/>
        <v>1</v>
      </c>
    </row>
    <row r="129" spans="1:10" x14ac:dyDescent="0.35">
      <c r="A129" t="s">
        <v>299</v>
      </c>
      <c r="B129" t="s">
        <v>300</v>
      </c>
      <c r="C129" t="s">
        <v>301</v>
      </c>
      <c r="D129" t="s">
        <v>302</v>
      </c>
      <c r="E129" t="s">
        <v>303</v>
      </c>
      <c r="F129" t="b">
        <v>0</v>
      </c>
      <c r="G129" t="b">
        <v>0</v>
      </c>
      <c r="H129" t="b">
        <f t="shared" si="3"/>
        <v>0</v>
      </c>
      <c r="I129" t="b">
        <f t="shared" si="4"/>
        <v>1</v>
      </c>
      <c r="J129">
        <f t="shared" si="5"/>
        <v>0</v>
      </c>
    </row>
    <row r="130" spans="1:10" x14ac:dyDescent="0.35">
      <c r="A130" t="s">
        <v>304</v>
      </c>
      <c r="B130" t="s">
        <v>305</v>
      </c>
      <c r="C130" t="s">
        <v>301</v>
      </c>
      <c r="D130" t="s">
        <v>302</v>
      </c>
      <c r="E130" t="s">
        <v>303</v>
      </c>
      <c r="F130" t="b">
        <v>0</v>
      </c>
      <c r="G130" t="b">
        <v>0</v>
      </c>
      <c r="H130" t="b">
        <f t="shared" si="3"/>
        <v>0</v>
      </c>
      <c r="I130" t="b">
        <f t="shared" si="4"/>
        <v>1</v>
      </c>
      <c r="J130">
        <f t="shared" si="5"/>
        <v>0</v>
      </c>
    </row>
    <row r="131" spans="1:10" x14ac:dyDescent="0.35">
      <c r="A131" t="s">
        <v>306</v>
      </c>
      <c r="B131" t="s">
        <v>307</v>
      </c>
      <c r="C131" t="s">
        <v>57</v>
      </c>
      <c r="D131" t="s">
        <v>14</v>
      </c>
      <c r="E131" t="s">
        <v>308</v>
      </c>
      <c r="F131" t="b">
        <v>0</v>
      </c>
      <c r="G131" t="b">
        <v>0</v>
      </c>
      <c r="H131" t="b">
        <f t="shared" ref="H131:H142" si="6">C131=D131</f>
        <v>0</v>
      </c>
      <c r="I131" t="b">
        <f t="shared" ref="I131:I142" si="7">F131=H131</f>
        <v>1</v>
      </c>
      <c r="J131">
        <f t="shared" ref="J131:J142" si="8">IF(F131,1,0)</f>
        <v>0</v>
      </c>
    </row>
    <row r="132" spans="1:10" x14ac:dyDescent="0.35">
      <c r="A132" t="s">
        <v>309</v>
      </c>
      <c r="B132" t="s">
        <v>310</v>
      </c>
      <c r="C132" t="s">
        <v>9</v>
      </c>
      <c r="D132" t="s">
        <v>42</v>
      </c>
      <c r="E132" t="s">
        <v>54</v>
      </c>
      <c r="F132" t="b">
        <v>0</v>
      </c>
      <c r="G132" t="b">
        <v>0</v>
      </c>
      <c r="H132" t="b">
        <f t="shared" si="6"/>
        <v>0</v>
      </c>
      <c r="I132" t="b">
        <f t="shared" si="7"/>
        <v>1</v>
      </c>
      <c r="J132">
        <f t="shared" si="8"/>
        <v>0</v>
      </c>
    </row>
    <row r="133" spans="1:10" x14ac:dyDescent="0.35">
      <c r="A133" t="s">
        <v>311</v>
      </c>
      <c r="B133" t="s">
        <v>312</v>
      </c>
      <c r="C133" t="s">
        <v>9</v>
      </c>
      <c r="D133" t="s">
        <v>42</v>
      </c>
      <c r="E133" t="s">
        <v>54</v>
      </c>
      <c r="F133" t="b">
        <v>0</v>
      </c>
      <c r="G133" t="b">
        <v>0</v>
      </c>
      <c r="H133" t="b">
        <f t="shared" si="6"/>
        <v>0</v>
      </c>
      <c r="I133" t="b">
        <f t="shared" si="7"/>
        <v>1</v>
      </c>
      <c r="J133">
        <f t="shared" si="8"/>
        <v>0</v>
      </c>
    </row>
    <row r="134" spans="1:10" x14ac:dyDescent="0.35">
      <c r="A134" t="s">
        <v>313</v>
      </c>
      <c r="B134" t="s">
        <v>96</v>
      </c>
      <c r="C134" t="s">
        <v>97</v>
      </c>
      <c r="D134" t="s">
        <v>98</v>
      </c>
      <c r="E134" t="s">
        <v>99</v>
      </c>
      <c r="F134" t="b">
        <v>0</v>
      </c>
      <c r="G134" t="b">
        <v>0</v>
      </c>
      <c r="H134" t="b">
        <f t="shared" si="6"/>
        <v>0</v>
      </c>
      <c r="I134" t="b">
        <f t="shared" si="7"/>
        <v>1</v>
      </c>
      <c r="J134">
        <f t="shared" si="8"/>
        <v>0</v>
      </c>
    </row>
    <row r="135" spans="1:10" x14ac:dyDescent="0.35">
      <c r="A135" t="s">
        <v>314</v>
      </c>
      <c r="B135" t="s">
        <v>315</v>
      </c>
      <c r="C135" t="s">
        <v>316</v>
      </c>
      <c r="D135" t="s">
        <v>14</v>
      </c>
      <c r="E135" t="s">
        <v>317</v>
      </c>
      <c r="F135" t="b">
        <v>0</v>
      </c>
      <c r="G135" t="b">
        <v>0</v>
      </c>
      <c r="H135" t="b">
        <f t="shared" si="6"/>
        <v>0</v>
      </c>
      <c r="I135" t="b">
        <f t="shared" si="7"/>
        <v>1</v>
      </c>
      <c r="J135">
        <f t="shared" si="8"/>
        <v>0</v>
      </c>
    </row>
    <row r="136" spans="1:10" x14ac:dyDescent="0.35">
      <c r="A136" t="s">
        <v>318</v>
      </c>
      <c r="B136" t="s">
        <v>319</v>
      </c>
      <c r="C136" t="s">
        <v>320</v>
      </c>
      <c r="D136" t="s">
        <v>320</v>
      </c>
      <c r="E136" t="s">
        <v>321</v>
      </c>
      <c r="F136" t="b">
        <v>1</v>
      </c>
      <c r="G136" t="b">
        <v>1</v>
      </c>
      <c r="H136" t="b">
        <f t="shared" si="6"/>
        <v>1</v>
      </c>
      <c r="I136" t="b">
        <f t="shared" si="7"/>
        <v>1</v>
      </c>
      <c r="J136">
        <f t="shared" si="8"/>
        <v>1</v>
      </c>
    </row>
    <row r="137" spans="1:10" x14ac:dyDescent="0.35">
      <c r="A137" t="s">
        <v>322</v>
      </c>
      <c r="B137" t="s">
        <v>56</v>
      </c>
      <c r="C137" t="s">
        <v>57</v>
      </c>
      <c r="D137" t="s">
        <v>58</v>
      </c>
      <c r="E137" t="s">
        <v>59</v>
      </c>
      <c r="F137" t="b">
        <v>0</v>
      </c>
      <c r="G137" t="b">
        <v>0</v>
      </c>
      <c r="H137" t="b">
        <f t="shared" si="6"/>
        <v>0</v>
      </c>
      <c r="I137" t="b">
        <f t="shared" si="7"/>
        <v>1</v>
      </c>
      <c r="J137">
        <f t="shared" si="8"/>
        <v>0</v>
      </c>
    </row>
    <row r="138" spans="1:10" x14ac:dyDescent="0.35">
      <c r="A138" t="s">
        <v>323</v>
      </c>
      <c r="B138" t="s">
        <v>188</v>
      </c>
      <c r="C138" t="s">
        <v>38</v>
      </c>
      <c r="D138" t="s">
        <v>106</v>
      </c>
      <c r="E138" t="s">
        <v>107</v>
      </c>
      <c r="F138" t="b">
        <v>0</v>
      </c>
      <c r="G138" t="b">
        <v>0</v>
      </c>
      <c r="H138" t="b">
        <f t="shared" si="6"/>
        <v>0</v>
      </c>
      <c r="I138" t="b">
        <f t="shared" si="7"/>
        <v>1</v>
      </c>
      <c r="J138">
        <f t="shared" si="8"/>
        <v>0</v>
      </c>
    </row>
    <row r="139" spans="1:10" x14ac:dyDescent="0.35">
      <c r="A139" t="s">
        <v>324</v>
      </c>
      <c r="B139" t="s">
        <v>190</v>
      </c>
      <c r="C139" t="s">
        <v>106</v>
      </c>
      <c r="D139" t="s">
        <v>106</v>
      </c>
      <c r="E139" t="s">
        <v>110</v>
      </c>
      <c r="F139" t="b">
        <v>1</v>
      </c>
      <c r="G139" t="b">
        <v>1</v>
      </c>
      <c r="H139" t="b">
        <f t="shared" si="6"/>
        <v>1</v>
      </c>
      <c r="I139" t="b">
        <f t="shared" si="7"/>
        <v>1</v>
      </c>
      <c r="J139">
        <f t="shared" si="8"/>
        <v>1</v>
      </c>
    </row>
    <row r="140" spans="1:10" x14ac:dyDescent="0.35">
      <c r="A140" t="s">
        <v>325</v>
      </c>
      <c r="B140" t="s">
        <v>192</v>
      </c>
      <c r="C140" t="s">
        <v>193</v>
      </c>
      <c r="D140" t="s">
        <v>193</v>
      </c>
      <c r="E140" t="s">
        <v>194</v>
      </c>
      <c r="F140" t="b">
        <v>1</v>
      </c>
      <c r="G140" t="b">
        <v>1</v>
      </c>
      <c r="H140" t="b">
        <f t="shared" si="6"/>
        <v>1</v>
      </c>
      <c r="I140" t="b">
        <f t="shared" si="7"/>
        <v>1</v>
      </c>
      <c r="J140">
        <f t="shared" si="8"/>
        <v>1</v>
      </c>
    </row>
    <row r="141" spans="1:10" x14ac:dyDescent="0.35">
      <c r="A141" t="s">
        <v>326</v>
      </c>
      <c r="B141" t="s">
        <v>327</v>
      </c>
      <c r="C141" t="s">
        <v>328</v>
      </c>
      <c r="D141" t="s">
        <v>328</v>
      </c>
      <c r="E141" t="s">
        <v>329</v>
      </c>
      <c r="F141" t="b">
        <v>1</v>
      </c>
      <c r="G141" t="b">
        <v>1</v>
      </c>
      <c r="H141" t="b">
        <f t="shared" si="6"/>
        <v>1</v>
      </c>
      <c r="I141" t="b">
        <f t="shared" si="7"/>
        <v>1</v>
      </c>
      <c r="J141">
        <f t="shared" si="8"/>
        <v>1</v>
      </c>
    </row>
    <row r="142" spans="1:10" x14ac:dyDescent="0.35">
      <c r="A142" t="s">
        <v>330</v>
      </c>
      <c r="B142" t="s">
        <v>331</v>
      </c>
      <c r="C142" t="s">
        <v>280</v>
      </c>
      <c r="D142" t="s">
        <v>14</v>
      </c>
      <c r="E142" t="s">
        <v>332</v>
      </c>
      <c r="F142" t="b">
        <v>0</v>
      </c>
      <c r="G142" t="b">
        <v>0</v>
      </c>
      <c r="H142" t="b">
        <f t="shared" si="6"/>
        <v>0</v>
      </c>
      <c r="I142" t="b">
        <f t="shared" si="7"/>
        <v>1</v>
      </c>
      <c r="J142">
        <f t="shared" si="8"/>
        <v>0</v>
      </c>
    </row>
    <row r="143" spans="1:10" x14ac:dyDescent="0.35">
      <c r="A143" t="s">
        <v>333</v>
      </c>
      <c r="C143" t="s">
        <v>334</v>
      </c>
      <c r="D143" t="s">
        <v>335</v>
      </c>
      <c r="J143">
        <f>SUM(J2:J142)</f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6044-6B8C-47AA-A024-D438772262D1}">
  <dimension ref="A1:J143"/>
  <sheetViews>
    <sheetView zoomScale="85" zoomScaleNormal="85" workbookViewId="0">
      <pane ySplit="1" topLeftCell="A65" activePane="bottomLeft" state="frozen"/>
      <selection pane="bottomLeft" activeCell="A69" sqref="A69:XFD69"/>
    </sheetView>
  </sheetViews>
  <sheetFormatPr defaultRowHeight="14.5" x14ac:dyDescent="0.35"/>
  <cols>
    <col min="1" max="1" width="21" customWidth="1"/>
    <col min="2" max="2" width="20.7265625" customWidth="1"/>
    <col min="3" max="3" width="47.54296875" customWidth="1"/>
    <col min="4" max="4" width="44.36328125" customWidth="1"/>
    <col min="5" max="5" width="85.26953125" customWidth="1"/>
    <col min="9" max="9" width="5.26953125" customWidth="1"/>
    <col min="10" max="10" width="8.1796875" customWidth="1"/>
    <col min="11" max="11" width="5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5">
      <c r="A2" t="s">
        <v>27</v>
      </c>
      <c r="B2" t="s">
        <v>28</v>
      </c>
      <c r="C2" t="s">
        <v>29</v>
      </c>
      <c r="D2" t="s">
        <v>29</v>
      </c>
      <c r="E2" t="s">
        <v>30</v>
      </c>
      <c r="F2" t="b">
        <v>1</v>
      </c>
      <c r="G2" t="b">
        <v>1</v>
      </c>
      <c r="H2">
        <v>1</v>
      </c>
    </row>
    <row r="3" spans="1:8" x14ac:dyDescent="0.35">
      <c r="A3" t="s">
        <v>146</v>
      </c>
      <c r="B3" t="s">
        <v>28</v>
      </c>
      <c r="C3" t="s">
        <v>29</v>
      </c>
      <c r="D3" t="s">
        <v>29</v>
      </c>
      <c r="E3" t="s">
        <v>30</v>
      </c>
      <c r="F3" t="b">
        <v>1</v>
      </c>
      <c r="G3" t="b">
        <v>1</v>
      </c>
      <c r="H3">
        <v>2</v>
      </c>
    </row>
    <row r="4" spans="1:8" x14ac:dyDescent="0.35">
      <c r="A4" t="s">
        <v>7</v>
      </c>
      <c r="B4" t="s">
        <v>8</v>
      </c>
      <c r="C4" s="3" t="s">
        <v>9</v>
      </c>
      <c r="D4" s="3" t="s">
        <v>10</v>
      </c>
      <c r="E4" t="s">
        <v>336</v>
      </c>
      <c r="F4" t="b">
        <v>1</v>
      </c>
      <c r="G4" t="b">
        <v>1</v>
      </c>
      <c r="H4">
        <v>3</v>
      </c>
    </row>
    <row r="5" spans="1:8" x14ac:dyDescent="0.35">
      <c r="A5" t="s">
        <v>286</v>
      </c>
      <c r="B5" t="s">
        <v>287</v>
      </c>
      <c r="C5" t="s">
        <v>288</v>
      </c>
      <c r="D5" t="s">
        <v>288</v>
      </c>
      <c r="E5" t="s">
        <v>289</v>
      </c>
      <c r="F5" t="b">
        <v>1</v>
      </c>
      <c r="G5" t="b">
        <v>1</v>
      </c>
      <c r="H5">
        <v>4</v>
      </c>
    </row>
    <row r="6" spans="1:8" x14ac:dyDescent="0.35">
      <c r="A6" t="s">
        <v>48</v>
      </c>
      <c r="B6" t="s">
        <v>49</v>
      </c>
      <c r="C6" t="s">
        <v>50</v>
      </c>
      <c r="D6" t="s">
        <v>50</v>
      </c>
      <c r="E6" t="s">
        <v>51</v>
      </c>
      <c r="F6" t="b">
        <v>1</v>
      </c>
      <c r="G6" t="b">
        <v>1</v>
      </c>
      <c r="H6">
        <v>5</v>
      </c>
    </row>
    <row r="7" spans="1:8" x14ac:dyDescent="0.35">
      <c r="A7" t="s">
        <v>153</v>
      </c>
      <c r="B7" t="s">
        <v>154</v>
      </c>
      <c r="C7" t="s">
        <v>155</v>
      </c>
      <c r="D7" t="s">
        <v>155</v>
      </c>
      <c r="E7" t="s">
        <v>156</v>
      </c>
      <c r="F7" t="b">
        <v>1</v>
      </c>
      <c r="G7" t="b">
        <v>1</v>
      </c>
      <c r="H7">
        <v>6</v>
      </c>
    </row>
    <row r="8" spans="1:8" x14ac:dyDescent="0.35">
      <c r="A8" t="s">
        <v>108</v>
      </c>
      <c r="B8" t="s">
        <v>109</v>
      </c>
      <c r="C8" t="s">
        <v>106</v>
      </c>
      <c r="D8" t="s">
        <v>106</v>
      </c>
      <c r="E8" t="s">
        <v>110</v>
      </c>
      <c r="F8" t="b">
        <v>1</v>
      </c>
      <c r="G8" t="b">
        <v>1</v>
      </c>
      <c r="H8">
        <v>7</v>
      </c>
    </row>
    <row r="9" spans="1:8" x14ac:dyDescent="0.35">
      <c r="A9" t="s">
        <v>189</v>
      </c>
      <c r="B9" t="s">
        <v>190</v>
      </c>
      <c r="C9" t="s">
        <v>106</v>
      </c>
      <c r="D9" t="s">
        <v>106</v>
      </c>
      <c r="E9" t="s">
        <v>110</v>
      </c>
      <c r="F9" t="b">
        <v>1</v>
      </c>
      <c r="G9" t="b">
        <v>1</v>
      </c>
      <c r="H9">
        <v>8</v>
      </c>
    </row>
    <row r="10" spans="1:8" x14ac:dyDescent="0.35">
      <c r="A10" t="s">
        <v>223</v>
      </c>
      <c r="B10" t="s">
        <v>190</v>
      </c>
      <c r="C10" t="s">
        <v>106</v>
      </c>
      <c r="D10" t="s">
        <v>106</v>
      </c>
      <c r="E10" t="s">
        <v>110</v>
      </c>
      <c r="F10" t="b">
        <v>1</v>
      </c>
      <c r="G10" t="b">
        <v>1</v>
      </c>
      <c r="H10">
        <v>9</v>
      </c>
    </row>
    <row r="11" spans="1:8" x14ac:dyDescent="0.35">
      <c r="A11" t="s">
        <v>324</v>
      </c>
      <c r="B11" t="s">
        <v>190</v>
      </c>
      <c r="C11" t="s">
        <v>106</v>
      </c>
      <c r="D11" t="s">
        <v>106</v>
      </c>
      <c r="E11" t="s">
        <v>110</v>
      </c>
      <c r="F11" t="b">
        <v>1</v>
      </c>
      <c r="G11" t="b">
        <v>1</v>
      </c>
      <c r="H11">
        <v>10</v>
      </c>
    </row>
    <row r="12" spans="1:8" x14ac:dyDescent="0.35">
      <c r="A12" t="s">
        <v>139</v>
      </c>
      <c r="B12" t="s">
        <v>140</v>
      </c>
      <c r="C12" t="s">
        <v>97</v>
      </c>
      <c r="D12" t="s">
        <v>97</v>
      </c>
      <c r="E12" t="s">
        <v>117</v>
      </c>
      <c r="F12" t="b">
        <v>1</v>
      </c>
      <c r="G12" t="b">
        <v>1</v>
      </c>
      <c r="H12">
        <v>11</v>
      </c>
    </row>
    <row r="13" spans="1:8" x14ac:dyDescent="0.35">
      <c r="A13" t="s">
        <v>179</v>
      </c>
      <c r="B13" t="s">
        <v>140</v>
      </c>
      <c r="C13" t="s">
        <v>97</v>
      </c>
      <c r="D13" t="s">
        <v>97</v>
      </c>
      <c r="E13" t="s">
        <v>117</v>
      </c>
      <c r="F13" t="b">
        <v>1</v>
      </c>
      <c r="G13" t="b">
        <v>1</v>
      </c>
      <c r="H13">
        <v>12</v>
      </c>
    </row>
    <row r="14" spans="1:8" x14ac:dyDescent="0.35">
      <c r="A14" t="s">
        <v>229</v>
      </c>
      <c r="B14" t="s">
        <v>140</v>
      </c>
      <c r="C14" t="s">
        <v>97</v>
      </c>
      <c r="D14" t="s">
        <v>97</v>
      </c>
      <c r="E14" t="s">
        <v>117</v>
      </c>
      <c r="F14" t="b">
        <v>1</v>
      </c>
      <c r="G14" t="b">
        <v>1</v>
      </c>
      <c r="H14">
        <v>13</v>
      </c>
    </row>
    <row r="15" spans="1:8" x14ac:dyDescent="0.35">
      <c r="A15" t="s">
        <v>115</v>
      </c>
      <c r="B15" t="s">
        <v>116</v>
      </c>
      <c r="C15" t="s">
        <v>97</v>
      </c>
      <c r="D15" t="s">
        <v>97</v>
      </c>
      <c r="E15" t="s">
        <v>117</v>
      </c>
      <c r="F15" t="b">
        <v>1</v>
      </c>
      <c r="G15" t="b">
        <v>1</v>
      </c>
      <c r="H15">
        <v>14</v>
      </c>
    </row>
    <row r="16" spans="1:8" x14ac:dyDescent="0.35">
      <c r="A16" t="s">
        <v>122</v>
      </c>
      <c r="B16" t="s">
        <v>116</v>
      </c>
      <c r="C16" t="s">
        <v>97</v>
      </c>
      <c r="D16" t="s">
        <v>97</v>
      </c>
      <c r="E16" t="s">
        <v>117</v>
      </c>
      <c r="F16" t="b">
        <v>1</v>
      </c>
      <c r="G16" t="b">
        <v>1</v>
      </c>
      <c r="H16">
        <v>15</v>
      </c>
    </row>
    <row r="17" spans="1:8" x14ac:dyDescent="0.35">
      <c r="A17" t="s">
        <v>126</v>
      </c>
      <c r="B17" t="s">
        <v>116</v>
      </c>
      <c r="C17" t="s">
        <v>97</v>
      </c>
      <c r="D17" t="s">
        <v>97</v>
      </c>
      <c r="E17" t="s">
        <v>117</v>
      </c>
      <c r="F17" t="b">
        <v>1</v>
      </c>
      <c r="G17" t="b">
        <v>1</v>
      </c>
      <c r="H17">
        <v>16</v>
      </c>
    </row>
    <row r="18" spans="1:8" x14ac:dyDescent="0.35">
      <c r="A18" t="s">
        <v>130</v>
      </c>
      <c r="B18" t="s">
        <v>116</v>
      </c>
      <c r="C18" t="s">
        <v>97</v>
      </c>
      <c r="D18" t="s">
        <v>97</v>
      </c>
      <c r="E18" t="s">
        <v>117</v>
      </c>
      <c r="F18" t="b">
        <v>1</v>
      </c>
      <c r="G18" t="b">
        <v>1</v>
      </c>
      <c r="H18">
        <v>17</v>
      </c>
    </row>
    <row r="19" spans="1:8" x14ac:dyDescent="0.35">
      <c r="A19" t="s">
        <v>295</v>
      </c>
      <c r="B19" t="s">
        <v>296</v>
      </c>
      <c r="C19" t="s">
        <v>297</v>
      </c>
      <c r="D19" t="s">
        <v>297</v>
      </c>
      <c r="E19" t="s">
        <v>298</v>
      </c>
      <c r="F19" t="b">
        <v>1</v>
      </c>
      <c r="G19" t="b">
        <v>1</v>
      </c>
      <c r="H19">
        <v>18</v>
      </c>
    </row>
    <row r="20" spans="1:8" x14ac:dyDescent="0.35">
      <c r="A20" t="s">
        <v>75</v>
      </c>
      <c r="B20" t="s">
        <v>76</v>
      </c>
      <c r="C20" t="s">
        <v>77</v>
      </c>
      <c r="D20" t="s">
        <v>77</v>
      </c>
      <c r="E20" t="s">
        <v>78</v>
      </c>
      <c r="F20" t="b">
        <v>1</v>
      </c>
      <c r="G20" t="b">
        <v>1</v>
      </c>
      <c r="H20">
        <v>19</v>
      </c>
    </row>
    <row r="21" spans="1:8" x14ac:dyDescent="0.35">
      <c r="A21" t="s">
        <v>36</v>
      </c>
      <c r="B21" t="s">
        <v>37</v>
      </c>
      <c r="C21" t="s">
        <v>38</v>
      </c>
      <c r="D21" t="s">
        <v>38</v>
      </c>
      <c r="E21" t="s">
        <v>39</v>
      </c>
      <c r="F21" t="b">
        <v>1</v>
      </c>
      <c r="G21" t="b">
        <v>1</v>
      </c>
      <c r="H21">
        <v>20</v>
      </c>
    </row>
    <row r="22" spans="1:8" x14ac:dyDescent="0.35">
      <c r="A22" t="s">
        <v>66</v>
      </c>
      <c r="B22" t="s">
        <v>67</v>
      </c>
      <c r="C22" t="s">
        <v>68</v>
      </c>
      <c r="D22" t="s">
        <v>68</v>
      </c>
      <c r="E22" t="s">
        <v>69</v>
      </c>
      <c r="F22" t="b">
        <v>1</v>
      </c>
      <c r="G22" t="b">
        <v>1</v>
      </c>
      <c r="H22">
        <v>21</v>
      </c>
    </row>
    <row r="23" spans="1:8" x14ac:dyDescent="0.35">
      <c r="A23" t="s">
        <v>138</v>
      </c>
      <c r="B23" t="s">
        <v>67</v>
      </c>
      <c r="C23" t="s">
        <v>68</v>
      </c>
      <c r="D23" t="s">
        <v>68</v>
      </c>
      <c r="E23" t="s">
        <v>69</v>
      </c>
      <c r="F23" t="b">
        <v>1</v>
      </c>
      <c r="G23" t="b">
        <v>1</v>
      </c>
      <c r="H23">
        <v>22</v>
      </c>
    </row>
    <row r="24" spans="1:8" x14ac:dyDescent="0.35">
      <c r="A24" t="s">
        <v>119</v>
      </c>
      <c r="B24" t="s">
        <v>120</v>
      </c>
      <c r="C24" t="s">
        <v>68</v>
      </c>
      <c r="D24" t="s">
        <v>68</v>
      </c>
      <c r="E24" t="s">
        <v>69</v>
      </c>
      <c r="F24" t="b">
        <v>1</v>
      </c>
      <c r="G24" t="b">
        <v>1</v>
      </c>
      <c r="H24">
        <v>23</v>
      </c>
    </row>
    <row r="25" spans="1:8" x14ac:dyDescent="0.35">
      <c r="A25" t="s">
        <v>124</v>
      </c>
      <c r="B25" t="s">
        <v>120</v>
      </c>
      <c r="C25" t="s">
        <v>68</v>
      </c>
      <c r="D25" t="s">
        <v>68</v>
      </c>
      <c r="E25" t="s">
        <v>69</v>
      </c>
      <c r="F25" t="b">
        <v>1</v>
      </c>
      <c r="G25" t="b">
        <v>1</v>
      </c>
      <c r="H25">
        <v>24</v>
      </c>
    </row>
    <row r="26" spans="1:8" x14ac:dyDescent="0.35">
      <c r="A26" t="s">
        <v>128</v>
      </c>
      <c r="B26" t="s">
        <v>120</v>
      </c>
      <c r="C26" t="s">
        <v>68</v>
      </c>
      <c r="D26" t="s">
        <v>68</v>
      </c>
      <c r="E26" t="s">
        <v>69</v>
      </c>
      <c r="F26" t="b">
        <v>1</v>
      </c>
      <c r="G26" t="b">
        <v>1</v>
      </c>
      <c r="H26">
        <v>25</v>
      </c>
    </row>
    <row r="27" spans="1:8" x14ac:dyDescent="0.35">
      <c r="A27" t="s">
        <v>262</v>
      </c>
      <c r="B27" t="s">
        <v>120</v>
      </c>
      <c r="C27" t="s">
        <v>68</v>
      </c>
      <c r="D27" t="s">
        <v>68</v>
      </c>
      <c r="E27" t="s">
        <v>69</v>
      </c>
      <c r="F27" t="b">
        <v>1</v>
      </c>
      <c r="G27" t="b">
        <v>1</v>
      </c>
      <c r="H27">
        <v>26</v>
      </c>
    </row>
    <row r="28" spans="1:8" x14ac:dyDescent="0.35">
      <c r="A28" t="s">
        <v>195</v>
      </c>
      <c r="B28" t="s">
        <v>196</v>
      </c>
      <c r="C28" t="s">
        <v>197</v>
      </c>
      <c r="D28" t="s">
        <v>197</v>
      </c>
      <c r="E28" t="s">
        <v>198</v>
      </c>
      <c r="F28" t="b">
        <v>1</v>
      </c>
      <c r="G28" t="b">
        <v>1</v>
      </c>
      <c r="H28">
        <v>27</v>
      </c>
    </row>
    <row r="29" spans="1:8" x14ac:dyDescent="0.35">
      <c r="A29" t="s">
        <v>44</v>
      </c>
      <c r="B29" t="s">
        <v>45</v>
      </c>
      <c r="C29" t="s">
        <v>46</v>
      </c>
      <c r="D29" t="s">
        <v>46</v>
      </c>
      <c r="E29" t="s">
        <v>47</v>
      </c>
      <c r="F29" t="b">
        <v>1</v>
      </c>
      <c r="G29" t="b">
        <v>1</v>
      </c>
      <c r="H29">
        <v>28</v>
      </c>
    </row>
    <row r="30" spans="1:8" x14ac:dyDescent="0.35">
      <c r="A30" t="s">
        <v>147</v>
      </c>
      <c r="B30" t="s">
        <v>45</v>
      </c>
      <c r="C30" t="s">
        <v>46</v>
      </c>
      <c r="D30" t="s">
        <v>46</v>
      </c>
      <c r="E30" t="s">
        <v>47</v>
      </c>
      <c r="F30" t="b">
        <v>1</v>
      </c>
      <c r="G30" t="b">
        <v>1</v>
      </c>
      <c r="H30">
        <v>29</v>
      </c>
    </row>
    <row r="31" spans="1:8" x14ac:dyDescent="0.35">
      <c r="A31" t="s">
        <v>149</v>
      </c>
      <c r="B31" t="s">
        <v>45</v>
      </c>
      <c r="C31" t="s">
        <v>46</v>
      </c>
      <c r="D31" t="s">
        <v>46</v>
      </c>
      <c r="E31" t="s">
        <v>47</v>
      </c>
      <c r="F31" t="b">
        <v>1</v>
      </c>
      <c r="G31" t="b">
        <v>1</v>
      </c>
      <c r="H31">
        <v>30</v>
      </c>
    </row>
    <row r="32" spans="1:8" x14ac:dyDescent="0.35">
      <c r="A32" t="s">
        <v>200</v>
      </c>
      <c r="B32" t="s">
        <v>45</v>
      </c>
      <c r="C32" t="s">
        <v>46</v>
      </c>
      <c r="D32" t="s">
        <v>46</v>
      </c>
      <c r="E32" t="s">
        <v>47</v>
      </c>
      <c r="F32" t="b">
        <v>1</v>
      </c>
      <c r="G32" t="b">
        <v>1</v>
      </c>
      <c r="H32">
        <v>31</v>
      </c>
    </row>
    <row r="33" spans="1:8" x14ac:dyDescent="0.35">
      <c r="A33" t="s">
        <v>214</v>
      </c>
      <c r="B33" t="s">
        <v>45</v>
      </c>
      <c r="C33" t="s">
        <v>46</v>
      </c>
      <c r="D33" t="s">
        <v>46</v>
      </c>
      <c r="E33" t="s">
        <v>47</v>
      </c>
      <c r="F33" t="b">
        <v>1</v>
      </c>
      <c r="G33" t="b">
        <v>1</v>
      </c>
      <c r="H33">
        <v>32</v>
      </c>
    </row>
    <row r="34" spans="1:8" x14ac:dyDescent="0.35">
      <c r="A34" t="s">
        <v>101</v>
      </c>
      <c r="B34" t="s">
        <v>102</v>
      </c>
      <c r="C34" t="s">
        <v>46</v>
      </c>
      <c r="D34" t="s">
        <v>46</v>
      </c>
      <c r="E34" t="s">
        <v>47</v>
      </c>
      <c r="F34" t="b">
        <v>1</v>
      </c>
      <c r="G34" t="b">
        <v>1</v>
      </c>
      <c r="H34">
        <v>33</v>
      </c>
    </row>
    <row r="35" spans="1:8" x14ac:dyDescent="0.35">
      <c r="A35" t="s">
        <v>136</v>
      </c>
      <c r="B35" t="s">
        <v>102</v>
      </c>
      <c r="C35" t="s">
        <v>46</v>
      </c>
      <c r="D35" t="s">
        <v>46</v>
      </c>
      <c r="E35" t="s">
        <v>47</v>
      </c>
      <c r="F35" t="b">
        <v>1</v>
      </c>
      <c r="G35" t="b">
        <v>1</v>
      </c>
      <c r="H35">
        <v>34</v>
      </c>
    </row>
    <row r="36" spans="1:8" x14ac:dyDescent="0.35">
      <c r="A36" t="s">
        <v>141</v>
      </c>
      <c r="B36" t="s">
        <v>102</v>
      </c>
      <c r="C36" t="s">
        <v>46</v>
      </c>
      <c r="D36" t="s">
        <v>46</v>
      </c>
      <c r="E36" t="s">
        <v>47</v>
      </c>
      <c r="F36" t="b">
        <v>1</v>
      </c>
      <c r="G36" t="b">
        <v>1</v>
      </c>
      <c r="H36">
        <v>35</v>
      </c>
    </row>
    <row r="37" spans="1:8" x14ac:dyDescent="0.35">
      <c r="A37" t="s">
        <v>258</v>
      </c>
      <c r="B37" t="s">
        <v>102</v>
      </c>
      <c r="C37" t="s">
        <v>46</v>
      </c>
      <c r="D37" t="s">
        <v>46</v>
      </c>
      <c r="E37" t="s">
        <v>47</v>
      </c>
      <c r="F37" t="b">
        <v>1</v>
      </c>
      <c r="G37" t="b">
        <v>1</v>
      </c>
      <c r="H37">
        <v>36</v>
      </c>
    </row>
    <row r="38" spans="1:8" x14ac:dyDescent="0.35">
      <c r="A38" t="s">
        <v>268</v>
      </c>
      <c r="B38" t="s">
        <v>102</v>
      </c>
      <c r="C38" t="s">
        <v>46</v>
      </c>
      <c r="D38" t="s">
        <v>46</v>
      </c>
      <c r="E38" t="s">
        <v>47</v>
      </c>
      <c r="F38" t="b">
        <v>1</v>
      </c>
      <c r="G38" t="b">
        <v>1</v>
      </c>
      <c r="H38">
        <v>37</v>
      </c>
    </row>
    <row r="39" spans="1:8" x14ac:dyDescent="0.35">
      <c r="A39" t="s">
        <v>271</v>
      </c>
      <c r="B39" t="s">
        <v>102</v>
      </c>
      <c r="C39" t="s">
        <v>46</v>
      </c>
      <c r="D39" t="s">
        <v>46</v>
      </c>
      <c r="E39" t="s">
        <v>47</v>
      </c>
      <c r="F39" t="b">
        <v>1</v>
      </c>
      <c r="G39" t="b">
        <v>1</v>
      </c>
      <c r="H39">
        <v>38</v>
      </c>
    </row>
    <row r="40" spans="1:8" x14ac:dyDescent="0.35">
      <c r="A40" t="s">
        <v>318</v>
      </c>
      <c r="B40" t="s">
        <v>319</v>
      </c>
      <c r="C40" t="s">
        <v>320</v>
      </c>
      <c r="D40" t="s">
        <v>320</v>
      </c>
      <c r="E40" t="s">
        <v>321</v>
      </c>
      <c r="F40" t="b">
        <v>1</v>
      </c>
      <c r="G40" t="b">
        <v>1</v>
      </c>
      <c r="H40">
        <v>39</v>
      </c>
    </row>
    <row r="41" spans="1:8" x14ac:dyDescent="0.35">
      <c r="A41" t="s">
        <v>111</v>
      </c>
      <c r="B41" t="s">
        <v>112</v>
      </c>
      <c r="C41" t="s">
        <v>113</v>
      </c>
      <c r="D41" t="s">
        <v>113</v>
      </c>
      <c r="E41" t="s">
        <v>114</v>
      </c>
      <c r="F41" t="b">
        <v>1</v>
      </c>
      <c r="G41" t="b">
        <v>1</v>
      </c>
      <c r="H41">
        <v>40</v>
      </c>
    </row>
    <row r="42" spans="1:8" x14ac:dyDescent="0.35">
      <c r="A42" t="s">
        <v>121</v>
      </c>
      <c r="B42" t="s">
        <v>112</v>
      </c>
      <c r="C42" t="s">
        <v>113</v>
      </c>
      <c r="D42" t="s">
        <v>113</v>
      </c>
      <c r="E42" t="s">
        <v>114</v>
      </c>
      <c r="F42" t="b">
        <v>1</v>
      </c>
      <c r="G42" t="b">
        <v>1</v>
      </c>
      <c r="H42">
        <v>41</v>
      </c>
    </row>
    <row r="43" spans="1:8" x14ac:dyDescent="0.35">
      <c r="A43" t="s">
        <v>125</v>
      </c>
      <c r="B43" t="s">
        <v>112</v>
      </c>
      <c r="C43" t="s">
        <v>113</v>
      </c>
      <c r="D43" t="s">
        <v>113</v>
      </c>
      <c r="E43" t="s">
        <v>114</v>
      </c>
      <c r="F43" t="b">
        <v>1</v>
      </c>
      <c r="G43" t="b">
        <v>1</v>
      </c>
      <c r="H43">
        <v>42</v>
      </c>
    </row>
    <row r="44" spans="1:8" x14ac:dyDescent="0.35">
      <c r="A44" t="s">
        <v>129</v>
      </c>
      <c r="B44" t="s">
        <v>112</v>
      </c>
      <c r="C44" t="s">
        <v>113</v>
      </c>
      <c r="D44" t="s">
        <v>113</v>
      </c>
      <c r="E44" t="s">
        <v>114</v>
      </c>
      <c r="F44" t="b">
        <v>1</v>
      </c>
      <c r="G44" t="b">
        <v>1</v>
      </c>
      <c r="H44">
        <v>43</v>
      </c>
    </row>
    <row r="45" spans="1:8" x14ac:dyDescent="0.35">
      <c r="A45" t="s">
        <v>178</v>
      </c>
      <c r="B45" t="s">
        <v>112</v>
      </c>
      <c r="C45" t="s">
        <v>113</v>
      </c>
      <c r="D45" t="s">
        <v>113</v>
      </c>
      <c r="E45" t="s">
        <v>114</v>
      </c>
      <c r="F45" t="b">
        <v>1</v>
      </c>
      <c r="G45" t="b">
        <v>1</v>
      </c>
      <c r="H45">
        <v>44</v>
      </c>
    </row>
    <row r="46" spans="1:8" x14ac:dyDescent="0.35">
      <c r="A46" t="s">
        <v>185</v>
      </c>
      <c r="B46" t="s">
        <v>112</v>
      </c>
      <c r="C46" t="s">
        <v>113</v>
      </c>
      <c r="D46" t="s">
        <v>113</v>
      </c>
      <c r="E46" t="s">
        <v>114</v>
      </c>
      <c r="F46" t="b">
        <v>1</v>
      </c>
      <c r="G46" t="b">
        <v>1</v>
      </c>
      <c r="H46">
        <v>45</v>
      </c>
    </row>
    <row r="47" spans="1:8" x14ac:dyDescent="0.35">
      <c r="A47" t="s">
        <v>226</v>
      </c>
      <c r="B47" t="s">
        <v>112</v>
      </c>
      <c r="C47" t="s">
        <v>113</v>
      </c>
      <c r="D47" t="s">
        <v>113</v>
      </c>
      <c r="E47" t="s">
        <v>114</v>
      </c>
      <c r="F47" t="b">
        <v>1</v>
      </c>
      <c r="G47" t="b">
        <v>1</v>
      </c>
      <c r="H47">
        <v>46</v>
      </c>
    </row>
    <row r="48" spans="1:8" x14ac:dyDescent="0.35">
      <c r="A48" t="s">
        <v>242</v>
      </c>
      <c r="B48" t="s">
        <v>243</v>
      </c>
      <c r="C48" t="s">
        <v>244</v>
      </c>
      <c r="D48" t="s">
        <v>244</v>
      </c>
      <c r="E48" t="s">
        <v>245</v>
      </c>
      <c r="F48" t="b">
        <v>1</v>
      </c>
      <c r="G48" t="b">
        <v>1</v>
      </c>
      <c r="H48">
        <v>47</v>
      </c>
    </row>
    <row r="49" spans="1:8" x14ac:dyDescent="0.35">
      <c r="A49" t="s">
        <v>247</v>
      </c>
      <c r="B49" t="s">
        <v>243</v>
      </c>
      <c r="C49" t="s">
        <v>244</v>
      </c>
      <c r="D49" t="s">
        <v>244</v>
      </c>
      <c r="E49" t="s">
        <v>245</v>
      </c>
      <c r="F49" t="b">
        <v>1</v>
      </c>
      <c r="G49" t="b">
        <v>1</v>
      </c>
      <c r="H49">
        <v>48</v>
      </c>
    </row>
    <row r="50" spans="1:8" x14ac:dyDescent="0.35">
      <c r="A50" t="s">
        <v>249</v>
      </c>
      <c r="B50" t="s">
        <v>243</v>
      </c>
      <c r="C50" t="s">
        <v>244</v>
      </c>
      <c r="D50" t="s">
        <v>244</v>
      </c>
      <c r="E50" t="s">
        <v>245</v>
      </c>
      <c r="F50" t="b">
        <v>1</v>
      </c>
      <c r="G50" t="b">
        <v>1</v>
      </c>
      <c r="H50">
        <v>49</v>
      </c>
    </row>
    <row r="51" spans="1:8" x14ac:dyDescent="0.35">
      <c r="A51" t="s">
        <v>23</v>
      </c>
      <c r="B51" t="s">
        <v>24</v>
      </c>
      <c r="C51" t="s">
        <v>25</v>
      </c>
      <c r="D51" t="s">
        <v>25</v>
      </c>
      <c r="E51" t="s">
        <v>26</v>
      </c>
      <c r="F51" t="b">
        <v>1</v>
      </c>
      <c r="G51" t="b">
        <v>1</v>
      </c>
      <c r="H51">
        <v>50</v>
      </c>
    </row>
    <row r="52" spans="1:8" x14ac:dyDescent="0.35">
      <c r="A52" t="s">
        <v>74</v>
      </c>
      <c r="B52" t="s">
        <v>24</v>
      </c>
      <c r="C52" t="s">
        <v>25</v>
      </c>
      <c r="D52" t="s">
        <v>25</v>
      </c>
      <c r="E52" t="s">
        <v>26</v>
      </c>
      <c r="F52" t="b">
        <v>1</v>
      </c>
      <c r="G52" t="b">
        <v>1</v>
      </c>
      <c r="H52">
        <v>51</v>
      </c>
    </row>
    <row r="53" spans="1:8" x14ac:dyDescent="0.35">
      <c r="A53" t="s">
        <v>89</v>
      </c>
      <c r="B53" t="s">
        <v>24</v>
      </c>
      <c r="C53" t="s">
        <v>25</v>
      </c>
      <c r="D53" t="s">
        <v>25</v>
      </c>
      <c r="E53" t="s">
        <v>26</v>
      </c>
      <c r="F53" t="b">
        <v>1</v>
      </c>
      <c r="G53" t="b">
        <v>1</v>
      </c>
      <c r="H53">
        <v>52</v>
      </c>
    </row>
    <row r="54" spans="1:8" x14ac:dyDescent="0.35">
      <c r="A54" t="s">
        <v>167</v>
      </c>
      <c r="B54" t="s">
        <v>24</v>
      </c>
      <c r="C54" t="s">
        <v>25</v>
      </c>
      <c r="D54" t="s">
        <v>25</v>
      </c>
      <c r="E54" t="s">
        <v>26</v>
      </c>
      <c r="F54" t="b">
        <v>1</v>
      </c>
      <c r="G54" t="b">
        <v>1</v>
      </c>
      <c r="H54">
        <v>53</v>
      </c>
    </row>
    <row r="55" spans="1:8" x14ac:dyDescent="0.35">
      <c r="A55" t="s">
        <v>230</v>
      </c>
      <c r="B55" t="s">
        <v>24</v>
      </c>
      <c r="C55" t="s">
        <v>25</v>
      </c>
      <c r="D55" t="s">
        <v>25</v>
      </c>
      <c r="E55" t="s">
        <v>26</v>
      </c>
      <c r="F55" t="b">
        <v>1</v>
      </c>
      <c r="G55" t="b">
        <v>1</v>
      </c>
      <c r="H55">
        <v>54</v>
      </c>
    </row>
    <row r="56" spans="1:8" x14ac:dyDescent="0.35">
      <c r="A56" t="s">
        <v>257</v>
      </c>
      <c r="B56" t="s">
        <v>24</v>
      </c>
      <c r="C56" t="s">
        <v>25</v>
      </c>
      <c r="D56" t="s">
        <v>25</v>
      </c>
      <c r="E56" t="s">
        <v>26</v>
      </c>
      <c r="F56" t="b">
        <v>1</v>
      </c>
      <c r="G56" t="b">
        <v>1</v>
      </c>
      <c r="H56">
        <v>55</v>
      </c>
    </row>
    <row r="57" spans="1:8" x14ac:dyDescent="0.35">
      <c r="A57" t="s">
        <v>263</v>
      </c>
      <c r="B57" t="s">
        <v>264</v>
      </c>
      <c r="C57" t="s">
        <v>25</v>
      </c>
      <c r="D57" t="s">
        <v>25</v>
      </c>
      <c r="E57" t="s">
        <v>26</v>
      </c>
      <c r="F57" t="b">
        <v>1</v>
      </c>
      <c r="G57" t="b">
        <v>1</v>
      </c>
      <c r="H57">
        <v>56</v>
      </c>
    </row>
    <row r="58" spans="1:8" x14ac:dyDescent="0.35">
      <c r="A58" t="s">
        <v>16</v>
      </c>
      <c r="B58" t="s">
        <v>17</v>
      </c>
      <c r="C58" t="s">
        <v>18</v>
      </c>
      <c r="D58" t="s">
        <v>18</v>
      </c>
      <c r="E58" t="s">
        <v>19</v>
      </c>
      <c r="F58" t="b">
        <v>1</v>
      </c>
      <c r="G58" t="b">
        <v>1</v>
      </c>
      <c r="H58">
        <v>57</v>
      </c>
    </row>
    <row r="59" spans="1:8" x14ac:dyDescent="0.35">
      <c r="A59" t="s">
        <v>20</v>
      </c>
      <c r="B59" t="s">
        <v>21</v>
      </c>
      <c r="C59" t="s">
        <v>18</v>
      </c>
      <c r="D59" t="s">
        <v>18</v>
      </c>
      <c r="E59" t="s">
        <v>22</v>
      </c>
      <c r="F59" t="b">
        <v>1</v>
      </c>
      <c r="G59" t="b">
        <v>1</v>
      </c>
      <c r="H59">
        <v>58</v>
      </c>
    </row>
    <row r="60" spans="1:8" x14ac:dyDescent="0.35">
      <c r="A60" t="s">
        <v>265</v>
      </c>
      <c r="B60" t="s">
        <v>266</v>
      </c>
      <c r="C60" t="s">
        <v>18</v>
      </c>
      <c r="D60" t="s">
        <v>18</v>
      </c>
      <c r="E60" t="s">
        <v>267</v>
      </c>
      <c r="F60" t="b">
        <v>1</v>
      </c>
      <c r="G60" t="b">
        <v>1</v>
      </c>
      <c r="H60">
        <v>59</v>
      </c>
    </row>
    <row r="61" spans="1:8" x14ac:dyDescent="0.35">
      <c r="A61" t="s">
        <v>157</v>
      </c>
      <c r="B61" t="s">
        <v>158</v>
      </c>
      <c r="C61" t="s">
        <v>159</v>
      </c>
      <c r="D61" t="s">
        <v>159</v>
      </c>
      <c r="E61" t="s">
        <v>160</v>
      </c>
      <c r="F61" t="b">
        <v>1</v>
      </c>
      <c r="G61" t="b">
        <v>1</v>
      </c>
      <c r="H61">
        <v>60</v>
      </c>
    </row>
    <row r="62" spans="1:8" x14ac:dyDescent="0.35">
      <c r="A62" t="s">
        <v>326</v>
      </c>
      <c r="B62" t="s">
        <v>327</v>
      </c>
      <c r="C62" t="s">
        <v>328</v>
      </c>
      <c r="D62" t="s">
        <v>328</v>
      </c>
      <c r="E62" t="s">
        <v>329</v>
      </c>
      <c r="F62" t="b">
        <v>1</v>
      </c>
      <c r="G62" t="b">
        <v>1</v>
      </c>
      <c r="H62">
        <v>61</v>
      </c>
    </row>
    <row r="63" spans="1:8" x14ac:dyDescent="0.35">
      <c r="A63" t="s">
        <v>191</v>
      </c>
      <c r="B63" t="s">
        <v>192</v>
      </c>
      <c r="C63" t="s">
        <v>193</v>
      </c>
      <c r="D63" t="s">
        <v>193</v>
      </c>
      <c r="E63" t="s">
        <v>194</v>
      </c>
      <c r="F63" t="b">
        <v>1</v>
      </c>
      <c r="G63" t="b">
        <v>1</v>
      </c>
      <c r="H63">
        <v>62</v>
      </c>
    </row>
    <row r="64" spans="1:8" x14ac:dyDescent="0.35">
      <c r="A64" t="s">
        <v>224</v>
      </c>
      <c r="B64" t="s">
        <v>192</v>
      </c>
      <c r="C64" t="s">
        <v>193</v>
      </c>
      <c r="D64" t="s">
        <v>193</v>
      </c>
      <c r="E64" t="s">
        <v>194</v>
      </c>
      <c r="F64" t="b">
        <v>1</v>
      </c>
      <c r="G64" t="b">
        <v>1</v>
      </c>
      <c r="H64">
        <v>63</v>
      </c>
    </row>
    <row r="65" spans="1:10" x14ac:dyDescent="0.35">
      <c r="A65" s="3" t="s">
        <v>325</v>
      </c>
      <c r="B65" s="3" t="s">
        <v>192</v>
      </c>
      <c r="C65" s="3" t="s">
        <v>193</v>
      </c>
      <c r="D65" s="3" t="s">
        <v>193</v>
      </c>
      <c r="E65" s="3" t="s">
        <v>194</v>
      </c>
      <c r="F65" s="3" t="b">
        <v>1</v>
      </c>
      <c r="G65" s="3" t="b">
        <v>1</v>
      </c>
      <c r="H65">
        <v>64</v>
      </c>
      <c r="I65">
        <v>141</v>
      </c>
      <c r="J65">
        <f>H65/I65</f>
        <v>0.45390070921985815</v>
      </c>
    </row>
    <row r="66" spans="1:10" x14ac:dyDescent="0.35">
      <c r="A66" t="s">
        <v>31</v>
      </c>
      <c r="B66" t="s">
        <v>32</v>
      </c>
      <c r="C66" t="s">
        <v>33</v>
      </c>
      <c r="D66" t="s">
        <v>34</v>
      </c>
      <c r="E66" t="s">
        <v>35</v>
      </c>
      <c r="F66" t="b">
        <v>0</v>
      </c>
      <c r="G66" s="4" t="b">
        <v>1</v>
      </c>
      <c r="H66">
        <v>65</v>
      </c>
    </row>
    <row r="67" spans="1:10" x14ac:dyDescent="0.35">
      <c r="A67" t="s">
        <v>180</v>
      </c>
      <c r="B67" t="s">
        <v>181</v>
      </c>
      <c r="C67" t="s">
        <v>18</v>
      </c>
      <c r="D67" t="s">
        <v>182</v>
      </c>
      <c r="E67" t="s">
        <v>183</v>
      </c>
      <c r="F67" t="b">
        <v>0</v>
      </c>
      <c r="G67" s="4" t="b">
        <v>1</v>
      </c>
      <c r="H67">
        <v>66</v>
      </c>
    </row>
    <row r="68" spans="1:10" x14ac:dyDescent="0.35">
      <c r="A68" t="s">
        <v>184</v>
      </c>
      <c r="B68" t="s">
        <v>181</v>
      </c>
      <c r="C68" t="s">
        <v>18</v>
      </c>
      <c r="D68" t="s">
        <v>182</v>
      </c>
      <c r="E68" t="s">
        <v>183</v>
      </c>
      <c r="F68" t="b">
        <v>0</v>
      </c>
      <c r="G68" s="4" t="b">
        <v>1</v>
      </c>
      <c r="H68">
        <v>67</v>
      </c>
    </row>
    <row r="69" spans="1:10" x14ac:dyDescent="0.35">
      <c r="A69" t="s">
        <v>259</v>
      </c>
      <c r="B69" t="s">
        <v>260</v>
      </c>
      <c r="C69" t="s">
        <v>18</v>
      </c>
      <c r="D69" t="s">
        <v>14</v>
      </c>
      <c r="E69" t="s">
        <v>261</v>
      </c>
      <c r="F69" t="b">
        <v>0</v>
      </c>
      <c r="G69" s="4" t="b">
        <v>1</v>
      </c>
      <c r="H69">
        <v>68</v>
      </c>
      <c r="I69">
        <v>141</v>
      </c>
      <c r="J69">
        <f t="shared" ref="J69" si="0">H69/I69</f>
        <v>0.48226950354609927</v>
      </c>
    </row>
    <row r="70" spans="1:10" x14ac:dyDescent="0.35">
      <c r="A70" t="s">
        <v>233</v>
      </c>
      <c r="B70" t="s">
        <v>234</v>
      </c>
      <c r="C70" t="s">
        <v>170</v>
      </c>
      <c r="D70" t="s">
        <v>235</v>
      </c>
      <c r="E70" t="s">
        <v>236</v>
      </c>
      <c r="F70" t="b">
        <v>0</v>
      </c>
      <c r="G70" t="b">
        <v>0</v>
      </c>
    </row>
    <row r="71" spans="1:10" x14ac:dyDescent="0.35">
      <c r="A71" t="s">
        <v>104</v>
      </c>
      <c r="B71" t="s">
        <v>105</v>
      </c>
      <c r="C71" t="s">
        <v>38</v>
      </c>
      <c r="D71" t="s">
        <v>106</v>
      </c>
      <c r="E71" t="s">
        <v>107</v>
      </c>
      <c r="F71" t="b">
        <v>0</v>
      </c>
      <c r="G71" t="b">
        <v>0</v>
      </c>
    </row>
    <row r="72" spans="1:10" x14ac:dyDescent="0.35">
      <c r="A72" t="s">
        <v>187</v>
      </c>
      <c r="B72" t="s">
        <v>188</v>
      </c>
      <c r="C72" t="s">
        <v>38</v>
      </c>
      <c r="D72" t="s">
        <v>106</v>
      </c>
      <c r="E72" t="s">
        <v>107</v>
      </c>
      <c r="F72" t="b">
        <v>0</v>
      </c>
      <c r="G72" t="b">
        <v>0</v>
      </c>
    </row>
    <row r="73" spans="1:10" x14ac:dyDescent="0.35">
      <c r="A73" t="s">
        <v>222</v>
      </c>
      <c r="B73" t="s">
        <v>188</v>
      </c>
      <c r="C73" t="s">
        <v>38</v>
      </c>
      <c r="D73" t="s">
        <v>106</v>
      </c>
      <c r="E73" t="s">
        <v>107</v>
      </c>
      <c r="F73" t="b">
        <v>0</v>
      </c>
      <c r="G73" t="b">
        <v>0</v>
      </c>
    </row>
    <row r="74" spans="1:10" x14ac:dyDescent="0.35">
      <c r="A74" t="s">
        <v>323</v>
      </c>
      <c r="B74" t="s">
        <v>188</v>
      </c>
      <c r="C74" t="s">
        <v>38</v>
      </c>
      <c r="D74" t="s">
        <v>106</v>
      </c>
      <c r="E74" t="s">
        <v>107</v>
      </c>
      <c r="F74" t="b">
        <v>0</v>
      </c>
      <c r="G74" t="b">
        <v>0</v>
      </c>
    </row>
    <row r="75" spans="1:10" x14ac:dyDescent="0.35">
      <c r="A75" t="s">
        <v>90</v>
      </c>
      <c r="B75" t="s">
        <v>91</v>
      </c>
      <c r="C75" t="s">
        <v>92</v>
      </c>
      <c r="D75" t="s">
        <v>93</v>
      </c>
      <c r="E75" t="s">
        <v>94</v>
      </c>
      <c r="F75" t="b">
        <v>0</v>
      </c>
      <c r="G75" t="b">
        <v>0</v>
      </c>
    </row>
    <row r="76" spans="1:10" x14ac:dyDescent="0.35">
      <c r="A76" t="s">
        <v>70</v>
      </c>
      <c r="B76" t="s">
        <v>71</v>
      </c>
      <c r="C76" t="s">
        <v>68</v>
      </c>
      <c r="D76" t="s">
        <v>72</v>
      </c>
      <c r="E76" t="s">
        <v>73</v>
      </c>
      <c r="F76" t="b">
        <v>0</v>
      </c>
      <c r="G76" t="b">
        <v>0</v>
      </c>
    </row>
    <row r="77" spans="1:10" x14ac:dyDescent="0.35">
      <c r="A77" t="s">
        <v>207</v>
      </c>
      <c r="B77" t="s">
        <v>208</v>
      </c>
      <c r="C77" t="s">
        <v>209</v>
      </c>
      <c r="D77" t="s">
        <v>210</v>
      </c>
      <c r="E77" t="s">
        <v>211</v>
      </c>
      <c r="F77" t="b">
        <v>0</v>
      </c>
      <c r="G77" t="b">
        <v>0</v>
      </c>
    </row>
    <row r="78" spans="1:10" x14ac:dyDescent="0.35">
      <c r="A78" t="s">
        <v>237</v>
      </c>
      <c r="B78" t="s">
        <v>238</v>
      </c>
      <c r="C78" t="s">
        <v>239</v>
      </c>
      <c r="D78" t="s">
        <v>240</v>
      </c>
      <c r="E78" t="s">
        <v>241</v>
      </c>
      <c r="F78" t="b">
        <v>0</v>
      </c>
      <c r="G78" t="b">
        <v>0</v>
      </c>
    </row>
    <row r="79" spans="1:10" x14ac:dyDescent="0.35">
      <c r="A79" t="s">
        <v>246</v>
      </c>
      <c r="B79" t="s">
        <v>238</v>
      </c>
      <c r="C79" t="s">
        <v>239</v>
      </c>
      <c r="D79" t="s">
        <v>240</v>
      </c>
      <c r="E79" t="s">
        <v>241</v>
      </c>
      <c r="F79" t="b">
        <v>0</v>
      </c>
      <c r="G79" t="b">
        <v>0</v>
      </c>
    </row>
    <row r="80" spans="1:10" x14ac:dyDescent="0.35">
      <c r="A80" t="s">
        <v>248</v>
      </c>
      <c r="B80" t="s">
        <v>238</v>
      </c>
      <c r="C80" t="s">
        <v>239</v>
      </c>
      <c r="D80" t="s">
        <v>240</v>
      </c>
      <c r="E80" t="s">
        <v>241</v>
      </c>
      <c r="F80" t="b">
        <v>0</v>
      </c>
      <c r="G80" t="b">
        <v>0</v>
      </c>
    </row>
    <row r="81" spans="1:7" x14ac:dyDescent="0.35">
      <c r="A81" t="s">
        <v>285</v>
      </c>
      <c r="B81" t="s">
        <v>238</v>
      </c>
      <c r="C81" t="s">
        <v>239</v>
      </c>
      <c r="D81" t="s">
        <v>240</v>
      </c>
      <c r="E81" t="s">
        <v>241</v>
      </c>
      <c r="F81" t="b">
        <v>0</v>
      </c>
      <c r="G81" t="b">
        <v>0</v>
      </c>
    </row>
    <row r="82" spans="1:7" x14ac:dyDescent="0.35">
      <c r="A82" t="s">
        <v>52</v>
      </c>
      <c r="B82" t="s">
        <v>53</v>
      </c>
      <c r="C82" t="s">
        <v>9</v>
      </c>
      <c r="D82" t="s">
        <v>42</v>
      </c>
      <c r="E82" t="s">
        <v>54</v>
      </c>
      <c r="F82" t="b">
        <v>0</v>
      </c>
      <c r="G82" t="b">
        <v>0</v>
      </c>
    </row>
    <row r="83" spans="1:7" x14ac:dyDescent="0.35">
      <c r="A83" t="s">
        <v>309</v>
      </c>
      <c r="B83" t="s">
        <v>310</v>
      </c>
      <c r="C83" t="s">
        <v>9</v>
      </c>
      <c r="D83" t="s">
        <v>42</v>
      </c>
      <c r="E83" t="s">
        <v>54</v>
      </c>
      <c r="F83" t="b">
        <v>0</v>
      </c>
      <c r="G83" t="b">
        <v>0</v>
      </c>
    </row>
    <row r="84" spans="1:7" x14ac:dyDescent="0.35">
      <c r="A84" t="s">
        <v>311</v>
      </c>
      <c r="B84" t="s">
        <v>312</v>
      </c>
      <c r="C84" t="s">
        <v>9</v>
      </c>
      <c r="D84" t="s">
        <v>42</v>
      </c>
      <c r="E84" t="s">
        <v>54</v>
      </c>
      <c r="F84" t="b">
        <v>0</v>
      </c>
      <c r="G84" t="b">
        <v>0</v>
      </c>
    </row>
    <row r="85" spans="1:7" x14ac:dyDescent="0.35">
      <c r="A85" t="s">
        <v>40</v>
      </c>
      <c r="B85" t="s">
        <v>41</v>
      </c>
      <c r="C85" t="s">
        <v>9</v>
      </c>
      <c r="D85" t="s">
        <v>42</v>
      </c>
      <c r="E85" t="s">
        <v>43</v>
      </c>
      <c r="F85" t="b">
        <v>0</v>
      </c>
      <c r="G85" t="b">
        <v>0</v>
      </c>
    </row>
    <row r="86" spans="1:7" x14ac:dyDescent="0.35">
      <c r="A86" t="s">
        <v>199</v>
      </c>
      <c r="B86" t="s">
        <v>41</v>
      </c>
      <c r="C86" t="s">
        <v>9</v>
      </c>
      <c r="D86" t="s">
        <v>42</v>
      </c>
      <c r="E86" t="s">
        <v>43</v>
      </c>
      <c r="F86" t="b">
        <v>0</v>
      </c>
      <c r="G86" t="b">
        <v>0</v>
      </c>
    </row>
    <row r="87" spans="1:7" x14ac:dyDescent="0.35">
      <c r="A87" t="s">
        <v>161</v>
      </c>
      <c r="B87" t="s">
        <v>162</v>
      </c>
      <c r="C87" t="s">
        <v>163</v>
      </c>
      <c r="D87" t="s">
        <v>164</v>
      </c>
      <c r="E87" t="s">
        <v>165</v>
      </c>
      <c r="F87" t="b">
        <v>0</v>
      </c>
      <c r="G87" t="b">
        <v>0</v>
      </c>
    </row>
    <row r="88" spans="1:7" x14ac:dyDescent="0.35">
      <c r="A88" t="s">
        <v>299</v>
      </c>
      <c r="B88" t="s">
        <v>300</v>
      </c>
      <c r="C88" t="s">
        <v>301</v>
      </c>
      <c r="D88" t="s">
        <v>302</v>
      </c>
      <c r="E88" t="s">
        <v>303</v>
      </c>
      <c r="F88" t="b">
        <v>0</v>
      </c>
      <c r="G88" t="b">
        <v>0</v>
      </c>
    </row>
    <row r="89" spans="1:7" x14ac:dyDescent="0.35">
      <c r="A89" t="s">
        <v>304</v>
      </c>
      <c r="B89" t="s">
        <v>305</v>
      </c>
      <c r="C89" t="s">
        <v>301</v>
      </c>
      <c r="D89" t="s">
        <v>302</v>
      </c>
      <c r="E89" t="s">
        <v>303</v>
      </c>
      <c r="F89" t="b">
        <v>0</v>
      </c>
      <c r="G89" t="b">
        <v>0</v>
      </c>
    </row>
    <row r="90" spans="1:7" x14ac:dyDescent="0.35">
      <c r="A90" t="s">
        <v>201</v>
      </c>
      <c r="B90" t="s">
        <v>202</v>
      </c>
      <c r="C90" t="s">
        <v>203</v>
      </c>
      <c r="D90" t="s">
        <v>204</v>
      </c>
      <c r="E90" t="s">
        <v>205</v>
      </c>
      <c r="F90" t="b">
        <v>0</v>
      </c>
      <c r="G90" t="b">
        <v>0</v>
      </c>
    </row>
    <row r="91" spans="1:7" x14ac:dyDescent="0.35">
      <c r="A91" t="s">
        <v>273</v>
      </c>
      <c r="B91" t="s">
        <v>274</v>
      </c>
      <c r="C91" t="s">
        <v>275</v>
      </c>
      <c r="D91" t="s">
        <v>276</v>
      </c>
      <c r="E91" t="s">
        <v>277</v>
      </c>
      <c r="F91" t="b">
        <v>0</v>
      </c>
      <c r="G91" t="b">
        <v>0</v>
      </c>
    </row>
    <row r="92" spans="1:7" x14ac:dyDescent="0.35">
      <c r="A92" t="s">
        <v>85</v>
      </c>
      <c r="B92" t="s">
        <v>86</v>
      </c>
      <c r="C92" t="s">
        <v>18</v>
      </c>
      <c r="D92" s="2" t="s">
        <v>87</v>
      </c>
      <c r="E92" t="s">
        <v>88</v>
      </c>
      <c r="F92" t="b">
        <v>0</v>
      </c>
      <c r="G92" t="b">
        <v>0</v>
      </c>
    </row>
    <row r="93" spans="1:7" x14ac:dyDescent="0.35">
      <c r="A93" t="s">
        <v>228</v>
      </c>
      <c r="B93" t="s">
        <v>86</v>
      </c>
      <c r="C93" t="s">
        <v>18</v>
      </c>
      <c r="D93" t="s">
        <v>87</v>
      </c>
      <c r="E93" t="s">
        <v>88</v>
      </c>
      <c r="F93" t="b">
        <v>0</v>
      </c>
      <c r="G93" t="b">
        <v>0</v>
      </c>
    </row>
    <row r="94" spans="1:7" x14ac:dyDescent="0.35">
      <c r="A94" t="s">
        <v>172</v>
      </c>
      <c r="B94" t="s">
        <v>173</v>
      </c>
      <c r="C94" t="s">
        <v>174</v>
      </c>
      <c r="D94" t="s">
        <v>175</v>
      </c>
      <c r="E94" t="s">
        <v>176</v>
      </c>
      <c r="F94" t="b">
        <v>0</v>
      </c>
      <c r="G94" t="b">
        <v>0</v>
      </c>
    </row>
    <row r="95" spans="1:7" x14ac:dyDescent="0.35">
      <c r="A95" t="s">
        <v>55</v>
      </c>
      <c r="B95" t="s">
        <v>56</v>
      </c>
      <c r="C95" t="s">
        <v>57</v>
      </c>
      <c r="D95" t="s">
        <v>58</v>
      </c>
      <c r="E95" t="s">
        <v>59</v>
      </c>
      <c r="F95" t="b">
        <v>0</v>
      </c>
      <c r="G95" t="b">
        <v>0</v>
      </c>
    </row>
    <row r="96" spans="1:7" x14ac:dyDescent="0.35">
      <c r="A96" t="s">
        <v>270</v>
      </c>
      <c r="B96" t="s">
        <v>56</v>
      </c>
      <c r="C96" t="s">
        <v>57</v>
      </c>
      <c r="D96" t="s">
        <v>58</v>
      </c>
      <c r="E96" t="s">
        <v>59</v>
      </c>
      <c r="F96" t="b">
        <v>0</v>
      </c>
      <c r="G96" t="b">
        <v>0</v>
      </c>
    </row>
    <row r="97" spans="1:7" x14ac:dyDescent="0.35">
      <c r="A97" t="s">
        <v>322</v>
      </c>
      <c r="B97" t="s">
        <v>56</v>
      </c>
      <c r="C97" t="s">
        <v>57</v>
      </c>
      <c r="D97" t="s">
        <v>58</v>
      </c>
      <c r="E97" t="s">
        <v>59</v>
      </c>
      <c r="F97" t="b">
        <v>0</v>
      </c>
      <c r="G97" t="b">
        <v>0</v>
      </c>
    </row>
    <row r="98" spans="1:7" x14ac:dyDescent="0.35">
      <c r="A98" t="s">
        <v>60</v>
      </c>
      <c r="B98" t="s">
        <v>61</v>
      </c>
      <c r="C98" t="s">
        <v>57</v>
      </c>
      <c r="D98" t="s">
        <v>58</v>
      </c>
      <c r="E98" t="s">
        <v>59</v>
      </c>
      <c r="F98" t="b">
        <v>0</v>
      </c>
      <c r="G98" t="b">
        <v>0</v>
      </c>
    </row>
    <row r="99" spans="1:7" x14ac:dyDescent="0.35">
      <c r="A99" t="s">
        <v>95</v>
      </c>
      <c r="B99" t="s">
        <v>96</v>
      </c>
      <c r="C99" t="s">
        <v>97</v>
      </c>
      <c r="D99" t="s">
        <v>98</v>
      </c>
      <c r="E99" t="s">
        <v>99</v>
      </c>
      <c r="F99" t="b">
        <v>0</v>
      </c>
      <c r="G99" t="b">
        <v>0</v>
      </c>
    </row>
    <row r="100" spans="1:7" x14ac:dyDescent="0.35">
      <c r="A100" t="s">
        <v>186</v>
      </c>
      <c r="B100" t="s">
        <v>96</v>
      </c>
      <c r="C100" t="s">
        <v>97</v>
      </c>
      <c r="D100" t="s">
        <v>98</v>
      </c>
      <c r="E100" t="s">
        <v>99</v>
      </c>
      <c r="F100" t="b">
        <v>0</v>
      </c>
      <c r="G100" t="b">
        <v>0</v>
      </c>
    </row>
    <row r="101" spans="1:7" x14ac:dyDescent="0.35">
      <c r="A101" t="s">
        <v>313</v>
      </c>
      <c r="B101" t="s">
        <v>96</v>
      </c>
      <c r="C101" t="s">
        <v>97</v>
      </c>
      <c r="D101" t="s">
        <v>98</v>
      </c>
      <c r="E101" t="s">
        <v>99</v>
      </c>
      <c r="F101" t="b">
        <v>0</v>
      </c>
      <c r="G101" t="b">
        <v>0</v>
      </c>
    </row>
    <row r="102" spans="1:7" x14ac:dyDescent="0.35">
      <c r="A102" t="s">
        <v>253</v>
      </c>
      <c r="B102" t="s">
        <v>254</v>
      </c>
      <c r="C102" t="s">
        <v>9</v>
      </c>
      <c r="D102" t="s">
        <v>255</v>
      </c>
      <c r="E102" t="s">
        <v>256</v>
      </c>
      <c r="F102" t="b">
        <v>0</v>
      </c>
      <c r="G102" t="b">
        <v>0</v>
      </c>
    </row>
    <row r="103" spans="1:7" x14ac:dyDescent="0.35">
      <c r="A103" t="s">
        <v>62</v>
      </c>
      <c r="B103" t="s">
        <v>63</v>
      </c>
      <c r="C103" t="s">
        <v>18</v>
      </c>
      <c r="D103" t="s">
        <v>64</v>
      </c>
      <c r="E103" t="s">
        <v>65</v>
      </c>
      <c r="F103" t="b">
        <v>0</v>
      </c>
      <c r="G103" t="b">
        <v>0</v>
      </c>
    </row>
    <row r="104" spans="1:7" x14ac:dyDescent="0.35">
      <c r="A104" t="s">
        <v>100</v>
      </c>
      <c r="B104" t="s">
        <v>63</v>
      </c>
      <c r="C104" t="s">
        <v>18</v>
      </c>
      <c r="D104" t="s">
        <v>64</v>
      </c>
      <c r="E104" t="s">
        <v>65</v>
      </c>
      <c r="F104" t="b">
        <v>0</v>
      </c>
      <c r="G104" t="b">
        <v>0</v>
      </c>
    </row>
    <row r="105" spans="1:7" x14ac:dyDescent="0.35">
      <c r="A105" t="s">
        <v>103</v>
      </c>
      <c r="B105" t="s">
        <v>63</v>
      </c>
      <c r="C105" t="s">
        <v>18</v>
      </c>
      <c r="D105" t="s">
        <v>64</v>
      </c>
      <c r="E105" t="s">
        <v>65</v>
      </c>
      <c r="F105" t="b">
        <v>0</v>
      </c>
      <c r="G105" t="b">
        <v>0</v>
      </c>
    </row>
    <row r="106" spans="1:7" x14ac:dyDescent="0.35">
      <c r="A106" t="s">
        <v>118</v>
      </c>
      <c r="B106" t="s">
        <v>63</v>
      </c>
      <c r="C106" t="s">
        <v>18</v>
      </c>
      <c r="D106" t="s">
        <v>64</v>
      </c>
      <c r="E106" t="s">
        <v>65</v>
      </c>
      <c r="F106" t="b">
        <v>0</v>
      </c>
      <c r="G106" t="b">
        <v>0</v>
      </c>
    </row>
    <row r="107" spans="1:7" x14ac:dyDescent="0.35">
      <c r="A107" t="s">
        <v>123</v>
      </c>
      <c r="B107" t="s">
        <v>63</v>
      </c>
      <c r="C107" t="s">
        <v>18</v>
      </c>
      <c r="D107" t="s">
        <v>64</v>
      </c>
      <c r="E107" t="s">
        <v>65</v>
      </c>
      <c r="F107" t="b">
        <v>0</v>
      </c>
      <c r="G107" t="b">
        <v>0</v>
      </c>
    </row>
    <row r="108" spans="1:7" x14ac:dyDescent="0.35">
      <c r="A108" t="s">
        <v>127</v>
      </c>
      <c r="B108" t="s">
        <v>63</v>
      </c>
      <c r="C108" t="s">
        <v>18</v>
      </c>
      <c r="D108" t="s">
        <v>64</v>
      </c>
      <c r="E108" t="s">
        <v>65</v>
      </c>
      <c r="F108" t="b">
        <v>0</v>
      </c>
      <c r="G108" t="b">
        <v>0</v>
      </c>
    </row>
    <row r="109" spans="1:7" x14ac:dyDescent="0.35">
      <c r="A109" t="s">
        <v>131</v>
      </c>
      <c r="B109" t="s">
        <v>63</v>
      </c>
      <c r="C109" t="s">
        <v>18</v>
      </c>
      <c r="D109" t="s">
        <v>64</v>
      </c>
      <c r="E109" t="s">
        <v>65</v>
      </c>
      <c r="F109" t="b">
        <v>0</v>
      </c>
      <c r="G109" t="b">
        <v>0</v>
      </c>
    </row>
    <row r="110" spans="1:7" x14ac:dyDescent="0.35">
      <c r="A110" t="s">
        <v>132</v>
      </c>
      <c r="B110" t="s">
        <v>63</v>
      </c>
      <c r="C110" t="s">
        <v>18</v>
      </c>
      <c r="D110" t="s">
        <v>64</v>
      </c>
      <c r="E110" t="s">
        <v>65</v>
      </c>
      <c r="F110" t="b">
        <v>0</v>
      </c>
      <c r="G110" t="b">
        <v>0</v>
      </c>
    </row>
    <row r="111" spans="1:7" x14ac:dyDescent="0.35">
      <c r="A111" t="s">
        <v>137</v>
      </c>
      <c r="B111" t="s">
        <v>63</v>
      </c>
      <c r="C111" t="s">
        <v>18</v>
      </c>
      <c r="D111" t="s">
        <v>64</v>
      </c>
      <c r="E111" t="s">
        <v>65</v>
      </c>
      <c r="F111" t="b">
        <v>0</v>
      </c>
      <c r="G111" t="b">
        <v>0</v>
      </c>
    </row>
    <row r="112" spans="1:7" x14ac:dyDescent="0.35">
      <c r="A112" t="s">
        <v>142</v>
      </c>
      <c r="B112" t="s">
        <v>63</v>
      </c>
      <c r="C112" t="s">
        <v>18</v>
      </c>
      <c r="D112" t="s">
        <v>64</v>
      </c>
      <c r="E112" t="s">
        <v>65</v>
      </c>
      <c r="F112" t="b">
        <v>0</v>
      </c>
      <c r="G112" t="b">
        <v>0</v>
      </c>
    </row>
    <row r="113" spans="1:7" x14ac:dyDescent="0.35">
      <c r="A113" t="s">
        <v>148</v>
      </c>
      <c r="B113" t="s">
        <v>63</v>
      </c>
      <c r="C113" t="s">
        <v>18</v>
      </c>
      <c r="D113" t="s">
        <v>64</v>
      </c>
      <c r="E113" t="s">
        <v>65</v>
      </c>
      <c r="F113" t="b">
        <v>0</v>
      </c>
      <c r="G113" t="b">
        <v>0</v>
      </c>
    </row>
    <row r="114" spans="1:7" x14ac:dyDescent="0.35">
      <c r="A114" t="s">
        <v>166</v>
      </c>
      <c r="B114" t="s">
        <v>63</v>
      </c>
      <c r="C114" t="s">
        <v>18</v>
      </c>
      <c r="D114" t="s">
        <v>64</v>
      </c>
      <c r="E114" t="s">
        <v>65</v>
      </c>
      <c r="F114" t="b">
        <v>0</v>
      </c>
      <c r="G114" t="b">
        <v>0</v>
      </c>
    </row>
    <row r="115" spans="1:7" x14ac:dyDescent="0.35">
      <c r="A115" t="s">
        <v>177</v>
      </c>
      <c r="B115" t="s">
        <v>63</v>
      </c>
      <c r="C115" t="s">
        <v>18</v>
      </c>
      <c r="D115" t="s">
        <v>64</v>
      </c>
      <c r="E115" t="s">
        <v>65</v>
      </c>
      <c r="F115" t="b">
        <v>0</v>
      </c>
      <c r="G115" t="b">
        <v>0</v>
      </c>
    </row>
    <row r="116" spans="1:7" x14ac:dyDescent="0.35">
      <c r="A116" t="s">
        <v>206</v>
      </c>
      <c r="B116" t="s">
        <v>63</v>
      </c>
      <c r="C116" t="s">
        <v>18</v>
      </c>
      <c r="D116" t="s">
        <v>64</v>
      </c>
      <c r="E116" t="s">
        <v>65</v>
      </c>
      <c r="F116" t="b">
        <v>0</v>
      </c>
      <c r="G116" t="b">
        <v>0</v>
      </c>
    </row>
    <row r="117" spans="1:7" x14ac:dyDescent="0.35">
      <c r="A117" t="s">
        <v>215</v>
      </c>
      <c r="B117" t="s">
        <v>63</v>
      </c>
      <c r="C117" t="s">
        <v>18</v>
      </c>
      <c r="D117" t="s">
        <v>64</v>
      </c>
      <c r="E117" t="s">
        <v>65</v>
      </c>
      <c r="F117" t="b">
        <v>0</v>
      </c>
      <c r="G117" t="b">
        <v>0</v>
      </c>
    </row>
    <row r="118" spans="1:7" x14ac:dyDescent="0.35">
      <c r="A118" t="s">
        <v>231</v>
      </c>
      <c r="B118" t="s">
        <v>63</v>
      </c>
      <c r="C118" t="s">
        <v>18</v>
      </c>
      <c r="D118" t="s">
        <v>64</v>
      </c>
      <c r="E118" t="s">
        <v>65</v>
      </c>
      <c r="F118" t="b">
        <v>0</v>
      </c>
      <c r="G118" t="b">
        <v>0</v>
      </c>
    </row>
    <row r="119" spans="1:7" x14ac:dyDescent="0.35">
      <c r="A119" t="s">
        <v>232</v>
      </c>
      <c r="B119" t="s">
        <v>63</v>
      </c>
      <c r="C119" t="s">
        <v>18</v>
      </c>
      <c r="D119" t="s">
        <v>64</v>
      </c>
      <c r="E119" t="s">
        <v>65</v>
      </c>
      <c r="F119" t="b">
        <v>0</v>
      </c>
      <c r="G119" t="b">
        <v>0</v>
      </c>
    </row>
    <row r="120" spans="1:7" x14ac:dyDescent="0.35">
      <c r="A120" t="s">
        <v>269</v>
      </c>
      <c r="B120" t="s">
        <v>63</v>
      </c>
      <c r="C120" t="s">
        <v>18</v>
      </c>
      <c r="D120" t="s">
        <v>64</v>
      </c>
      <c r="E120" t="s">
        <v>65</v>
      </c>
      <c r="F120" t="b">
        <v>0</v>
      </c>
      <c r="G120" t="b">
        <v>0</v>
      </c>
    </row>
    <row r="121" spans="1:7" x14ac:dyDescent="0.35">
      <c r="A121" t="s">
        <v>272</v>
      </c>
      <c r="B121" t="s">
        <v>63</v>
      </c>
      <c r="C121" t="s">
        <v>18</v>
      </c>
      <c r="D121" t="s">
        <v>64</v>
      </c>
      <c r="E121" t="s">
        <v>65</v>
      </c>
      <c r="F121" t="b">
        <v>0</v>
      </c>
      <c r="G121" t="b">
        <v>0</v>
      </c>
    </row>
    <row r="122" spans="1:7" x14ac:dyDescent="0.35">
      <c r="A122" t="s">
        <v>294</v>
      </c>
      <c r="B122" t="s">
        <v>63</v>
      </c>
      <c r="C122" t="s">
        <v>18</v>
      </c>
      <c r="D122" t="s">
        <v>64</v>
      </c>
      <c r="E122" t="s">
        <v>65</v>
      </c>
      <c r="F122" t="b">
        <v>0</v>
      </c>
      <c r="G122" t="b">
        <v>0</v>
      </c>
    </row>
    <row r="123" spans="1:7" x14ac:dyDescent="0.35">
      <c r="A123" t="s">
        <v>330</v>
      </c>
      <c r="B123" t="s">
        <v>331</v>
      </c>
      <c r="C123" t="s">
        <v>280</v>
      </c>
      <c r="D123" t="s">
        <v>14</v>
      </c>
      <c r="E123" t="s">
        <v>332</v>
      </c>
      <c r="F123" t="b">
        <v>0</v>
      </c>
      <c r="G123" t="b">
        <v>0</v>
      </c>
    </row>
    <row r="124" spans="1:7" x14ac:dyDescent="0.35">
      <c r="A124" t="s">
        <v>278</v>
      </c>
      <c r="B124" t="s">
        <v>279</v>
      </c>
      <c r="C124" t="s">
        <v>280</v>
      </c>
      <c r="D124" t="s">
        <v>14</v>
      </c>
      <c r="E124" t="s">
        <v>281</v>
      </c>
      <c r="F124" t="b">
        <v>0</v>
      </c>
      <c r="G124" t="b">
        <v>0</v>
      </c>
    </row>
    <row r="125" spans="1:7" x14ac:dyDescent="0.35">
      <c r="A125" t="s">
        <v>250</v>
      </c>
      <c r="B125" t="s">
        <v>251</v>
      </c>
      <c r="C125" t="s">
        <v>9</v>
      </c>
      <c r="D125" t="s">
        <v>14</v>
      </c>
      <c r="E125" t="s">
        <v>252</v>
      </c>
      <c r="F125" t="b">
        <v>0</v>
      </c>
      <c r="G125" t="b">
        <v>0</v>
      </c>
    </row>
    <row r="126" spans="1:7" x14ac:dyDescent="0.35">
      <c r="A126" t="s">
        <v>216</v>
      </c>
      <c r="B126" t="s">
        <v>217</v>
      </c>
      <c r="C126" t="s">
        <v>9</v>
      </c>
      <c r="D126" t="s">
        <v>14</v>
      </c>
      <c r="E126" t="s">
        <v>218</v>
      </c>
      <c r="F126" t="b">
        <v>0</v>
      </c>
      <c r="G126" t="b">
        <v>0</v>
      </c>
    </row>
    <row r="127" spans="1:7" x14ac:dyDescent="0.35">
      <c r="A127" t="s">
        <v>143</v>
      </c>
      <c r="B127" t="s">
        <v>144</v>
      </c>
      <c r="C127" t="s">
        <v>9</v>
      </c>
      <c r="D127" t="s">
        <v>14</v>
      </c>
      <c r="E127" t="s">
        <v>145</v>
      </c>
      <c r="F127" t="b">
        <v>0</v>
      </c>
      <c r="G127" t="b">
        <v>0</v>
      </c>
    </row>
    <row r="128" spans="1:7" x14ac:dyDescent="0.35">
      <c r="A128" t="s">
        <v>212</v>
      </c>
      <c r="B128" t="s">
        <v>144</v>
      </c>
      <c r="C128" t="s">
        <v>9</v>
      </c>
      <c r="D128" t="s">
        <v>14</v>
      </c>
      <c r="E128" t="s">
        <v>145</v>
      </c>
      <c r="F128" t="b">
        <v>0</v>
      </c>
      <c r="G128" t="b">
        <v>0</v>
      </c>
    </row>
    <row r="129" spans="1:7" x14ac:dyDescent="0.35">
      <c r="A129" t="s">
        <v>219</v>
      </c>
      <c r="B129" t="s">
        <v>220</v>
      </c>
      <c r="C129" t="s">
        <v>9</v>
      </c>
      <c r="D129" t="s">
        <v>14</v>
      </c>
      <c r="E129" t="s">
        <v>221</v>
      </c>
      <c r="F129" t="b">
        <v>0</v>
      </c>
      <c r="G129" t="b">
        <v>0</v>
      </c>
    </row>
    <row r="130" spans="1:7" x14ac:dyDescent="0.35">
      <c r="A130" t="s">
        <v>314</v>
      </c>
      <c r="B130" t="s">
        <v>315</v>
      </c>
      <c r="C130" t="s">
        <v>316</v>
      </c>
      <c r="D130" t="s">
        <v>14</v>
      </c>
      <c r="E130" t="s">
        <v>317</v>
      </c>
      <c r="F130" t="b">
        <v>0</v>
      </c>
      <c r="G130" t="b">
        <v>0</v>
      </c>
    </row>
    <row r="131" spans="1:7" x14ac:dyDescent="0.35">
      <c r="A131" t="s">
        <v>282</v>
      </c>
      <c r="B131" t="s">
        <v>283</v>
      </c>
      <c r="C131" t="s">
        <v>209</v>
      </c>
      <c r="D131" t="s">
        <v>14</v>
      </c>
      <c r="E131" t="s">
        <v>284</v>
      </c>
      <c r="F131" t="b">
        <v>0</v>
      </c>
      <c r="G131" t="b">
        <v>0</v>
      </c>
    </row>
    <row r="132" spans="1:7" x14ac:dyDescent="0.35">
      <c r="A132" t="s">
        <v>290</v>
      </c>
      <c r="B132" t="s">
        <v>291</v>
      </c>
      <c r="C132" t="s">
        <v>292</v>
      </c>
      <c r="D132" t="s">
        <v>14</v>
      </c>
      <c r="E132" t="s">
        <v>293</v>
      </c>
      <c r="F132" t="b">
        <v>0</v>
      </c>
      <c r="G132" t="b">
        <v>0</v>
      </c>
    </row>
    <row r="133" spans="1:7" x14ac:dyDescent="0.35">
      <c r="A133" t="s">
        <v>306</v>
      </c>
      <c r="B133" t="s">
        <v>307</v>
      </c>
      <c r="C133" t="s">
        <v>57</v>
      </c>
      <c r="D133" t="s">
        <v>14</v>
      </c>
      <c r="E133" t="s">
        <v>308</v>
      </c>
      <c r="F133" t="b">
        <v>0</v>
      </c>
      <c r="G133" t="b">
        <v>0</v>
      </c>
    </row>
    <row r="134" spans="1:7" x14ac:dyDescent="0.35">
      <c r="A134" t="s">
        <v>133</v>
      </c>
      <c r="B134" t="s">
        <v>134</v>
      </c>
      <c r="C134" t="s">
        <v>57</v>
      </c>
      <c r="D134" t="s">
        <v>14</v>
      </c>
      <c r="E134" t="s">
        <v>135</v>
      </c>
      <c r="F134" t="b">
        <v>0</v>
      </c>
      <c r="G134" t="b">
        <v>0</v>
      </c>
    </row>
    <row r="135" spans="1:7" x14ac:dyDescent="0.35">
      <c r="A135" t="s">
        <v>213</v>
      </c>
      <c r="B135" t="s">
        <v>134</v>
      </c>
      <c r="C135" t="s">
        <v>57</v>
      </c>
      <c r="D135" t="s">
        <v>14</v>
      </c>
      <c r="E135" t="s">
        <v>135</v>
      </c>
      <c r="F135" t="b">
        <v>0</v>
      </c>
      <c r="G135" t="b">
        <v>0</v>
      </c>
    </row>
    <row r="136" spans="1:7" x14ac:dyDescent="0.35">
      <c r="A136" t="s">
        <v>168</v>
      </c>
      <c r="B136" t="s">
        <v>169</v>
      </c>
      <c r="C136" t="s">
        <v>170</v>
      </c>
      <c r="D136" t="s">
        <v>14</v>
      </c>
      <c r="E136" t="s">
        <v>171</v>
      </c>
      <c r="F136" t="b">
        <v>0</v>
      </c>
      <c r="G136" t="b">
        <v>0</v>
      </c>
    </row>
    <row r="137" spans="1:7" x14ac:dyDescent="0.35">
      <c r="A137" t="s">
        <v>11</v>
      </c>
      <c r="B137" t="s">
        <v>12</v>
      </c>
      <c r="C137" t="s">
        <v>13</v>
      </c>
      <c r="D137" t="s">
        <v>14</v>
      </c>
      <c r="E137" t="s">
        <v>15</v>
      </c>
      <c r="F137" t="b">
        <v>0</v>
      </c>
      <c r="G137" t="b">
        <v>0</v>
      </c>
    </row>
    <row r="138" spans="1:7" x14ac:dyDescent="0.35">
      <c r="A138" t="s">
        <v>79</v>
      </c>
      <c r="B138" t="s">
        <v>80</v>
      </c>
      <c r="C138" t="s">
        <v>18</v>
      </c>
      <c r="D138" t="s">
        <v>14</v>
      </c>
      <c r="E138" t="s">
        <v>81</v>
      </c>
      <c r="F138" t="b">
        <v>0</v>
      </c>
      <c r="G138" t="b">
        <v>0</v>
      </c>
    </row>
    <row r="139" spans="1:7" x14ac:dyDescent="0.35">
      <c r="A139" t="s">
        <v>225</v>
      </c>
      <c r="B139" t="s">
        <v>80</v>
      </c>
      <c r="C139" t="s">
        <v>18</v>
      </c>
      <c r="D139" t="s">
        <v>14</v>
      </c>
      <c r="E139" t="s">
        <v>81</v>
      </c>
      <c r="F139" t="b">
        <v>0</v>
      </c>
      <c r="G139" t="b">
        <v>0</v>
      </c>
    </row>
    <row r="140" spans="1:7" x14ac:dyDescent="0.35">
      <c r="A140" t="s">
        <v>82</v>
      </c>
      <c r="B140" t="s">
        <v>83</v>
      </c>
      <c r="C140" t="s">
        <v>18</v>
      </c>
      <c r="D140" t="s">
        <v>14</v>
      </c>
      <c r="E140" t="s">
        <v>84</v>
      </c>
      <c r="F140" t="b">
        <v>0</v>
      </c>
      <c r="G140" t="b">
        <v>0</v>
      </c>
    </row>
    <row r="141" spans="1:7" x14ac:dyDescent="0.35">
      <c r="A141" t="s">
        <v>227</v>
      </c>
      <c r="B141" t="s">
        <v>83</v>
      </c>
      <c r="C141" t="s">
        <v>18</v>
      </c>
      <c r="D141" t="s">
        <v>14</v>
      </c>
      <c r="E141" t="s">
        <v>84</v>
      </c>
      <c r="F141" t="b">
        <v>0</v>
      </c>
      <c r="G141" t="b">
        <v>0</v>
      </c>
    </row>
    <row r="142" spans="1:7" x14ac:dyDescent="0.35">
      <c r="A142" t="s">
        <v>150</v>
      </c>
      <c r="B142" t="s">
        <v>151</v>
      </c>
      <c r="C142" t="s">
        <v>18</v>
      </c>
      <c r="D142" t="s">
        <v>14</v>
      </c>
      <c r="E142" t="s">
        <v>152</v>
      </c>
      <c r="F142" t="b">
        <v>0</v>
      </c>
      <c r="G142" t="b">
        <v>0</v>
      </c>
    </row>
    <row r="143" spans="1:7" x14ac:dyDescent="0.35">
      <c r="A143" t="s">
        <v>333</v>
      </c>
      <c r="C143" t="s">
        <v>334</v>
      </c>
      <c r="D143" t="s">
        <v>335</v>
      </c>
    </row>
  </sheetData>
  <sortState xmlns:xlrd2="http://schemas.microsoft.com/office/spreadsheetml/2017/richdata2" ref="A2:G143">
    <sortCondition descending="1" ref="G2:G143"/>
    <sortCondition descending="1" ref="F2:F143"/>
    <sortCondition ref="D2:D143"/>
    <sortCondition ref="C2:C143"/>
    <sortCondition ref="B2:B143"/>
  </sortState>
  <hyperlinks>
    <hyperlink ref="D92" r:id="rId1" xr:uid="{5D8DD317-B20E-4C97-A18E-B62C3A5B2779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4007-6443-436C-A438-73879186456D}">
  <dimension ref="A1:I81"/>
  <sheetViews>
    <sheetView topLeftCell="A19" workbookViewId="0">
      <selection activeCell="J72" sqref="J72"/>
    </sheetView>
  </sheetViews>
  <sheetFormatPr defaultRowHeight="14.5" x14ac:dyDescent="0.35"/>
  <cols>
    <col min="1" max="1" width="30" customWidth="1"/>
    <col min="2" max="2" width="17.81640625" bestFit="1" customWidth="1"/>
    <col min="3" max="3" width="42.36328125" customWidth="1"/>
    <col min="4" max="4" width="43" customWidth="1"/>
    <col min="5" max="5" width="12.90625" customWidth="1"/>
    <col min="6" max="6" width="84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340</v>
      </c>
      <c r="F1" s="1" t="s">
        <v>4</v>
      </c>
      <c r="G1" s="1" t="s">
        <v>5</v>
      </c>
      <c r="H1" s="1" t="s">
        <v>6</v>
      </c>
    </row>
    <row r="2" spans="1:9" x14ac:dyDescent="0.35">
      <c r="A2" t="s">
        <v>90</v>
      </c>
      <c r="B2" t="s">
        <v>91</v>
      </c>
      <c r="C2" t="s">
        <v>92</v>
      </c>
      <c r="D2" t="s">
        <v>93</v>
      </c>
      <c r="E2" t="s">
        <v>338</v>
      </c>
      <c r="F2" t="s">
        <v>94</v>
      </c>
      <c r="G2" t="b">
        <v>0</v>
      </c>
      <c r="H2" t="b">
        <v>0</v>
      </c>
      <c r="I2">
        <v>1</v>
      </c>
    </row>
    <row r="3" spans="1:9" x14ac:dyDescent="0.35">
      <c r="A3" t="s">
        <v>70</v>
      </c>
      <c r="B3" t="s">
        <v>71</v>
      </c>
      <c r="C3" t="s">
        <v>68</v>
      </c>
      <c r="D3" s="2" t="s">
        <v>72</v>
      </c>
      <c r="E3" t="s">
        <v>338</v>
      </c>
      <c r="F3" t="s">
        <v>73</v>
      </c>
      <c r="G3" t="b">
        <v>0</v>
      </c>
      <c r="H3" t="b">
        <v>0</v>
      </c>
      <c r="I3">
        <v>2</v>
      </c>
    </row>
    <row r="4" spans="1:9" x14ac:dyDescent="0.35">
      <c r="A4" t="s">
        <v>95</v>
      </c>
      <c r="B4" t="s">
        <v>96</v>
      </c>
      <c r="C4" t="s">
        <v>97</v>
      </c>
      <c r="D4" t="s">
        <v>98</v>
      </c>
      <c r="E4" t="s">
        <v>338</v>
      </c>
      <c r="F4" t="s">
        <v>99</v>
      </c>
      <c r="G4" t="b">
        <v>0</v>
      </c>
      <c r="H4" t="b">
        <v>0</v>
      </c>
      <c r="I4">
        <v>3</v>
      </c>
    </row>
    <row r="5" spans="1:9" x14ac:dyDescent="0.35">
      <c r="A5" t="s">
        <v>186</v>
      </c>
      <c r="B5" t="s">
        <v>96</v>
      </c>
      <c r="C5" t="s">
        <v>97</v>
      </c>
      <c r="D5" t="s">
        <v>98</v>
      </c>
      <c r="E5" t="s">
        <v>338</v>
      </c>
      <c r="F5" t="s">
        <v>99</v>
      </c>
      <c r="G5" t="b">
        <v>0</v>
      </c>
      <c r="H5" t="b">
        <v>0</v>
      </c>
      <c r="I5">
        <v>4</v>
      </c>
    </row>
    <row r="6" spans="1:9" x14ac:dyDescent="0.35">
      <c r="A6" t="s">
        <v>313</v>
      </c>
      <c r="B6" t="s">
        <v>96</v>
      </c>
      <c r="C6" t="s">
        <v>97</v>
      </c>
      <c r="D6" t="s">
        <v>98</v>
      </c>
      <c r="E6" t="s">
        <v>338</v>
      </c>
      <c r="F6" t="s">
        <v>99</v>
      </c>
      <c r="G6" t="b">
        <v>0</v>
      </c>
      <c r="H6" t="b">
        <v>0</v>
      </c>
      <c r="I6">
        <v>5</v>
      </c>
    </row>
    <row r="7" spans="1:9" x14ac:dyDescent="0.35">
      <c r="A7" t="s">
        <v>253</v>
      </c>
      <c r="B7" t="s">
        <v>254</v>
      </c>
      <c r="C7" t="s">
        <v>9</v>
      </c>
      <c r="D7" t="s">
        <v>255</v>
      </c>
      <c r="E7" t="s">
        <v>338</v>
      </c>
      <c r="F7" t="s">
        <v>256</v>
      </c>
      <c r="G7" t="b">
        <v>0</v>
      </c>
      <c r="H7" t="b">
        <v>0</v>
      </c>
      <c r="I7">
        <v>6</v>
      </c>
    </row>
    <row r="8" spans="1:9" x14ac:dyDescent="0.35">
      <c r="A8" t="s">
        <v>233</v>
      </c>
      <c r="B8" t="s">
        <v>234</v>
      </c>
      <c r="C8" t="s">
        <v>170</v>
      </c>
      <c r="D8" t="s">
        <v>235</v>
      </c>
      <c r="E8" t="s">
        <v>337</v>
      </c>
      <c r="F8" t="s">
        <v>236</v>
      </c>
      <c r="G8" t="b">
        <v>0</v>
      </c>
      <c r="H8" t="b">
        <v>0</v>
      </c>
      <c r="I8">
        <v>1</v>
      </c>
    </row>
    <row r="9" spans="1:9" x14ac:dyDescent="0.35">
      <c r="A9" t="s">
        <v>104</v>
      </c>
      <c r="B9" t="s">
        <v>105</v>
      </c>
      <c r="C9" t="s">
        <v>38</v>
      </c>
      <c r="D9" t="s">
        <v>106</v>
      </c>
      <c r="E9" t="s">
        <v>337</v>
      </c>
      <c r="F9" t="s">
        <v>107</v>
      </c>
      <c r="G9" t="b">
        <v>0</v>
      </c>
      <c r="H9" t="b">
        <v>0</v>
      </c>
      <c r="I9">
        <v>2</v>
      </c>
    </row>
    <row r="10" spans="1:9" x14ac:dyDescent="0.35">
      <c r="A10" t="s">
        <v>187</v>
      </c>
      <c r="B10" t="s">
        <v>188</v>
      </c>
      <c r="C10" t="s">
        <v>38</v>
      </c>
      <c r="D10" t="s">
        <v>106</v>
      </c>
      <c r="E10" t="s">
        <v>337</v>
      </c>
      <c r="F10" t="s">
        <v>107</v>
      </c>
      <c r="G10" t="b">
        <v>0</v>
      </c>
      <c r="H10" t="b">
        <v>0</v>
      </c>
      <c r="I10">
        <v>3</v>
      </c>
    </row>
    <row r="11" spans="1:9" x14ac:dyDescent="0.35">
      <c r="A11" t="s">
        <v>222</v>
      </c>
      <c r="B11" t="s">
        <v>188</v>
      </c>
      <c r="C11" t="s">
        <v>38</v>
      </c>
      <c r="D11" t="s">
        <v>106</v>
      </c>
      <c r="E11" t="s">
        <v>337</v>
      </c>
      <c r="F11" t="s">
        <v>107</v>
      </c>
      <c r="G11" t="b">
        <v>0</v>
      </c>
      <c r="H11" t="b">
        <v>0</v>
      </c>
      <c r="I11">
        <v>4</v>
      </c>
    </row>
    <row r="12" spans="1:9" x14ac:dyDescent="0.35">
      <c r="A12" t="s">
        <v>323</v>
      </c>
      <c r="B12" t="s">
        <v>188</v>
      </c>
      <c r="C12" t="s">
        <v>38</v>
      </c>
      <c r="D12" t="s">
        <v>106</v>
      </c>
      <c r="E12" t="s">
        <v>337</v>
      </c>
      <c r="F12" t="s">
        <v>107</v>
      </c>
      <c r="G12" t="b">
        <v>0</v>
      </c>
      <c r="H12" t="b">
        <v>0</v>
      </c>
      <c r="I12">
        <v>5</v>
      </c>
    </row>
    <row r="13" spans="1:9" x14ac:dyDescent="0.35">
      <c r="A13" t="s">
        <v>207</v>
      </c>
      <c r="B13" t="s">
        <v>208</v>
      </c>
      <c r="C13" t="s">
        <v>209</v>
      </c>
      <c r="D13" t="s">
        <v>210</v>
      </c>
      <c r="E13" t="s">
        <v>337</v>
      </c>
      <c r="F13" t="s">
        <v>211</v>
      </c>
      <c r="G13" t="b">
        <v>0</v>
      </c>
      <c r="H13" t="b">
        <v>0</v>
      </c>
      <c r="I13">
        <v>6</v>
      </c>
    </row>
    <row r="14" spans="1:9" x14ac:dyDescent="0.35">
      <c r="A14" t="s">
        <v>237</v>
      </c>
      <c r="B14" t="s">
        <v>238</v>
      </c>
      <c r="C14" t="s">
        <v>239</v>
      </c>
      <c r="D14" t="s">
        <v>240</v>
      </c>
      <c r="E14" t="s">
        <v>337</v>
      </c>
      <c r="F14" t="s">
        <v>241</v>
      </c>
      <c r="G14" t="b">
        <v>0</v>
      </c>
      <c r="H14" t="b">
        <v>0</v>
      </c>
      <c r="I14">
        <v>7</v>
      </c>
    </row>
    <row r="15" spans="1:9" x14ac:dyDescent="0.35">
      <c r="A15" t="s">
        <v>246</v>
      </c>
      <c r="B15" t="s">
        <v>238</v>
      </c>
      <c r="C15" t="s">
        <v>239</v>
      </c>
      <c r="D15" t="s">
        <v>240</v>
      </c>
      <c r="E15" t="s">
        <v>337</v>
      </c>
      <c r="F15" t="s">
        <v>241</v>
      </c>
      <c r="G15" t="b">
        <v>0</v>
      </c>
      <c r="H15" t="b">
        <v>0</v>
      </c>
      <c r="I15">
        <v>8</v>
      </c>
    </row>
    <row r="16" spans="1:9" x14ac:dyDescent="0.35">
      <c r="A16" t="s">
        <v>248</v>
      </c>
      <c r="B16" t="s">
        <v>238</v>
      </c>
      <c r="C16" t="s">
        <v>239</v>
      </c>
      <c r="D16" t="s">
        <v>240</v>
      </c>
      <c r="E16" t="s">
        <v>337</v>
      </c>
      <c r="F16" t="s">
        <v>241</v>
      </c>
      <c r="G16" t="b">
        <v>0</v>
      </c>
      <c r="H16" t="b">
        <v>0</v>
      </c>
      <c r="I16">
        <v>9</v>
      </c>
    </row>
    <row r="17" spans="1:9" x14ac:dyDescent="0.35">
      <c r="A17" t="s">
        <v>285</v>
      </c>
      <c r="B17" t="s">
        <v>238</v>
      </c>
      <c r="C17" t="s">
        <v>239</v>
      </c>
      <c r="D17" t="s">
        <v>240</v>
      </c>
      <c r="E17" t="s">
        <v>337</v>
      </c>
      <c r="F17" t="s">
        <v>241</v>
      </c>
      <c r="G17" t="b">
        <v>0</v>
      </c>
      <c r="H17" t="b">
        <v>0</v>
      </c>
      <c r="I17">
        <v>10</v>
      </c>
    </row>
    <row r="18" spans="1:9" x14ac:dyDescent="0.35">
      <c r="A18" t="s">
        <v>52</v>
      </c>
      <c r="B18" t="s">
        <v>53</v>
      </c>
      <c r="C18" t="s">
        <v>9</v>
      </c>
      <c r="D18" t="s">
        <v>42</v>
      </c>
      <c r="E18" t="s">
        <v>337</v>
      </c>
      <c r="F18" t="s">
        <v>54</v>
      </c>
      <c r="G18" t="b">
        <v>0</v>
      </c>
      <c r="H18" t="b">
        <v>0</v>
      </c>
      <c r="I18">
        <v>11</v>
      </c>
    </row>
    <row r="19" spans="1:9" x14ac:dyDescent="0.35">
      <c r="A19" t="s">
        <v>309</v>
      </c>
      <c r="B19" t="s">
        <v>310</v>
      </c>
      <c r="C19" t="s">
        <v>9</v>
      </c>
      <c r="D19" t="s">
        <v>42</v>
      </c>
      <c r="E19" t="s">
        <v>337</v>
      </c>
      <c r="F19" t="s">
        <v>54</v>
      </c>
      <c r="G19" t="b">
        <v>0</v>
      </c>
      <c r="H19" t="b">
        <v>0</v>
      </c>
      <c r="I19">
        <v>12</v>
      </c>
    </row>
    <row r="20" spans="1:9" x14ac:dyDescent="0.35">
      <c r="A20" t="s">
        <v>311</v>
      </c>
      <c r="B20" t="s">
        <v>312</v>
      </c>
      <c r="C20" t="s">
        <v>9</v>
      </c>
      <c r="D20" t="s">
        <v>42</v>
      </c>
      <c r="E20" t="s">
        <v>337</v>
      </c>
      <c r="F20" t="s">
        <v>54</v>
      </c>
      <c r="G20" t="b">
        <v>0</v>
      </c>
      <c r="H20" t="b">
        <v>0</v>
      </c>
      <c r="I20">
        <v>13</v>
      </c>
    </row>
    <row r="21" spans="1:9" x14ac:dyDescent="0.35">
      <c r="A21" t="s">
        <v>40</v>
      </c>
      <c r="B21" t="s">
        <v>41</v>
      </c>
      <c r="C21" t="s">
        <v>9</v>
      </c>
      <c r="D21" t="s">
        <v>42</v>
      </c>
      <c r="E21" t="s">
        <v>337</v>
      </c>
      <c r="F21" t="s">
        <v>43</v>
      </c>
      <c r="G21" t="b">
        <v>0</v>
      </c>
      <c r="H21" t="b">
        <v>0</v>
      </c>
      <c r="I21">
        <v>14</v>
      </c>
    </row>
    <row r="22" spans="1:9" x14ac:dyDescent="0.35">
      <c r="A22" t="s">
        <v>199</v>
      </c>
      <c r="B22" t="s">
        <v>41</v>
      </c>
      <c r="C22" t="s">
        <v>9</v>
      </c>
      <c r="D22" t="s">
        <v>42</v>
      </c>
      <c r="E22" t="s">
        <v>337</v>
      </c>
      <c r="F22" t="s">
        <v>43</v>
      </c>
      <c r="G22" t="b">
        <v>0</v>
      </c>
      <c r="H22" t="b">
        <v>0</v>
      </c>
      <c r="I22">
        <v>15</v>
      </c>
    </row>
    <row r="23" spans="1:9" x14ac:dyDescent="0.35">
      <c r="A23" t="s">
        <v>161</v>
      </c>
      <c r="B23" t="s">
        <v>162</v>
      </c>
      <c r="C23" t="s">
        <v>163</v>
      </c>
      <c r="D23" t="s">
        <v>164</v>
      </c>
      <c r="E23" t="s">
        <v>337</v>
      </c>
      <c r="F23" t="s">
        <v>165</v>
      </c>
      <c r="G23" t="b">
        <v>0</v>
      </c>
      <c r="H23" t="b">
        <v>0</v>
      </c>
      <c r="I23">
        <v>16</v>
      </c>
    </row>
    <row r="24" spans="1:9" x14ac:dyDescent="0.35">
      <c r="A24" t="s">
        <v>299</v>
      </c>
      <c r="B24" t="s">
        <v>300</v>
      </c>
      <c r="C24" t="s">
        <v>301</v>
      </c>
      <c r="D24" t="s">
        <v>302</v>
      </c>
      <c r="E24" t="s">
        <v>337</v>
      </c>
      <c r="F24" t="s">
        <v>303</v>
      </c>
      <c r="G24" t="b">
        <v>0</v>
      </c>
      <c r="H24" t="b">
        <v>0</v>
      </c>
      <c r="I24">
        <v>17</v>
      </c>
    </row>
    <row r="25" spans="1:9" x14ac:dyDescent="0.35">
      <c r="A25" t="s">
        <v>304</v>
      </c>
      <c r="B25" t="s">
        <v>305</v>
      </c>
      <c r="C25" t="s">
        <v>301</v>
      </c>
      <c r="D25" t="s">
        <v>302</v>
      </c>
      <c r="E25" t="s">
        <v>337</v>
      </c>
      <c r="F25" t="s">
        <v>303</v>
      </c>
      <c r="G25" t="b">
        <v>0</v>
      </c>
      <c r="H25" t="b">
        <v>0</v>
      </c>
      <c r="I25">
        <v>18</v>
      </c>
    </row>
    <row r="26" spans="1:9" x14ac:dyDescent="0.35">
      <c r="A26" t="s">
        <v>201</v>
      </c>
      <c r="B26" t="s">
        <v>202</v>
      </c>
      <c r="C26" t="s">
        <v>203</v>
      </c>
      <c r="D26" t="s">
        <v>204</v>
      </c>
      <c r="E26" t="s">
        <v>337</v>
      </c>
      <c r="F26" t="s">
        <v>205</v>
      </c>
      <c r="G26" t="b">
        <v>0</v>
      </c>
      <c r="H26" t="b">
        <v>0</v>
      </c>
      <c r="I26">
        <v>19</v>
      </c>
    </row>
    <row r="27" spans="1:9" x14ac:dyDescent="0.35">
      <c r="A27" t="s">
        <v>55</v>
      </c>
      <c r="B27" t="s">
        <v>56</v>
      </c>
      <c r="C27" t="s">
        <v>57</v>
      </c>
      <c r="D27" t="s">
        <v>58</v>
      </c>
      <c r="E27" t="s">
        <v>337</v>
      </c>
      <c r="F27" t="s">
        <v>59</v>
      </c>
      <c r="G27" t="b">
        <v>0</v>
      </c>
      <c r="H27" t="b">
        <v>0</v>
      </c>
      <c r="I27">
        <v>20</v>
      </c>
    </row>
    <row r="28" spans="1:9" x14ac:dyDescent="0.35">
      <c r="A28" t="s">
        <v>270</v>
      </c>
      <c r="B28" t="s">
        <v>56</v>
      </c>
      <c r="C28" t="s">
        <v>57</v>
      </c>
      <c r="D28" t="s">
        <v>58</v>
      </c>
      <c r="E28" t="s">
        <v>337</v>
      </c>
      <c r="F28" t="s">
        <v>59</v>
      </c>
      <c r="G28" t="b">
        <v>0</v>
      </c>
      <c r="H28" t="b">
        <v>0</v>
      </c>
      <c r="I28">
        <v>21</v>
      </c>
    </row>
    <row r="29" spans="1:9" x14ac:dyDescent="0.35">
      <c r="A29" t="s">
        <v>322</v>
      </c>
      <c r="B29" t="s">
        <v>56</v>
      </c>
      <c r="C29" t="s">
        <v>57</v>
      </c>
      <c r="D29" t="s">
        <v>58</v>
      </c>
      <c r="E29" t="s">
        <v>337</v>
      </c>
      <c r="F29" t="s">
        <v>59</v>
      </c>
      <c r="G29" t="b">
        <v>0</v>
      </c>
      <c r="H29" t="b">
        <v>0</v>
      </c>
      <c r="I29">
        <v>22</v>
      </c>
    </row>
    <row r="30" spans="1:9" x14ac:dyDescent="0.35">
      <c r="A30" t="s">
        <v>60</v>
      </c>
      <c r="B30" t="s">
        <v>61</v>
      </c>
      <c r="C30" t="s">
        <v>57</v>
      </c>
      <c r="D30" t="s">
        <v>58</v>
      </c>
      <c r="E30" t="s">
        <v>337</v>
      </c>
      <c r="F30" t="s">
        <v>59</v>
      </c>
      <c r="G30" t="b">
        <v>0</v>
      </c>
      <c r="H30" t="b">
        <v>0</v>
      </c>
      <c r="I30">
        <v>23</v>
      </c>
    </row>
    <row r="31" spans="1:9" x14ac:dyDescent="0.35">
      <c r="A31" t="s">
        <v>62</v>
      </c>
      <c r="B31" t="s">
        <v>63</v>
      </c>
      <c r="C31" t="s">
        <v>18</v>
      </c>
      <c r="D31" t="s">
        <v>64</v>
      </c>
      <c r="E31" t="s">
        <v>337</v>
      </c>
      <c r="F31" t="s">
        <v>65</v>
      </c>
      <c r="G31" t="b">
        <v>0</v>
      </c>
      <c r="H31" t="b">
        <v>0</v>
      </c>
      <c r="I31">
        <v>24</v>
      </c>
    </row>
    <row r="32" spans="1:9" x14ac:dyDescent="0.35">
      <c r="A32" t="s">
        <v>100</v>
      </c>
      <c r="B32" t="s">
        <v>63</v>
      </c>
      <c r="C32" t="s">
        <v>18</v>
      </c>
      <c r="D32" t="s">
        <v>64</v>
      </c>
      <c r="E32" t="s">
        <v>337</v>
      </c>
      <c r="F32" t="s">
        <v>65</v>
      </c>
      <c r="G32" t="b">
        <v>0</v>
      </c>
      <c r="H32" t="b">
        <v>0</v>
      </c>
      <c r="I32">
        <v>25</v>
      </c>
    </row>
    <row r="33" spans="1:9" x14ac:dyDescent="0.35">
      <c r="A33" t="s">
        <v>103</v>
      </c>
      <c r="B33" t="s">
        <v>63</v>
      </c>
      <c r="C33" t="s">
        <v>18</v>
      </c>
      <c r="D33" t="s">
        <v>64</v>
      </c>
      <c r="E33" t="s">
        <v>337</v>
      </c>
      <c r="F33" t="s">
        <v>65</v>
      </c>
      <c r="G33" t="b">
        <v>0</v>
      </c>
      <c r="H33" t="b">
        <v>0</v>
      </c>
      <c r="I33">
        <v>26</v>
      </c>
    </row>
    <row r="34" spans="1:9" x14ac:dyDescent="0.35">
      <c r="A34" t="s">
        <v>118</v>
      </c>
      <c r="B34" t="s">
        <v>63</v>
      </c>
      <c r="C34" t="s">
        <v>18</v>
      </c>
      <c r="D34" t="s">
        <v>64</v>
      </c>
      <c r="E34" t="s">
        <v>337</v>
      </c>
      <c r="F34" t="s">
        <v>65</v>
      </c>
      <c r="G34" t="b">
        <v>0</v>
      </c>
      <c r="H34" t="b">
        <v>0</v>
      </c>
      <c r="I34">
        <v>27</v>
      </c>
    </row>
    <row r="35" spans="1:9" x14ac:dyDescent="0.35">
      <c r="A35" t="s">
        <v>123</v>
      </c>
      <c r="B35" t="s">
        <v>63</v>
      </c>
      <c r="C35" t="s">
        <v>18</v>
      </c>
      <c r="D35" t="s">
        <v>64</v>
      </c>
      <c r="E35" t="s">
        <v>337</v>
      </c>
      <c r="F35" t="s">
        <v>65</v>
      </c>
      <c r="G35" t="b">
        <v>0</v>
      </c>
      <c r="H35" t="b">
        <v>0</v>
      </c>
      <c r="I35">
        <v>28</v>
      </c>
    </row>
    <row r="36" spans="1:9" x14ac:dyDescent="0.35">
      <c r="A36" t="s">
        <v>127</v>
      </c>
      <c r="B36" t="s">
        <v>63</v>
      </c>
      <c r="C36" t="s">
        <v>18</v>
      </c>
      <c r="D36" t="s">
        <v>64</v>
      </c>
      <c r="E36" t="s">
        <v>337</v>
      </c>
      <c r="F36" t="s">
        <v>65</v>
      </c>
      <c r="G36" t="b">
        <v>0</v>
      </c>
      <c r="H36" t="b">
        <v>0</v>
      </c>
      <c r="I36">
        <v>29</v>
      </c>
    </row>
    <row r="37" spans="1:9" x14ac:dyDescent="0.35">
      <c r="A37" t="s">
        <v>131</v>
      </c>
      <c r="B37" t="s">
        <v>63</v>
      </c>
      <c r="C37" t="s">
        <v>18</v>
      </c>
      <c r="D37" t="s">
        <v>64</v>
      </c>
      <c r="E37" t="s">
        <v>337</v>
      </c>
      <c r="F37" t="s">
        <v>65</v>
      </c>
      <c r="G37" t="b">
        <v>0</v>
      </c>
      <c r="H37" t="b">
        <v>0</v>
      </c>
      <c r="I37">
        <v>30</v>
      </c>
    </row>
    <row r="38" spans="1:9" x14ac:dyDescent="0.35">
      <c r="A38" t="s">
        <v>132</v>
      </c>
      <c r="B38" t="s">
        <v>63</v>
      </c>
      <c r="C38" t="s">
        <v>18</v>
      </c>
      <c r="D38" t="s">
        <v>64</v>
      </c>
      <c r="E38" t="s">
        <v>337</v>
      </c>
      <c r="F38" t="s">
        <v>65</v>
      </c>
      <c r="G38" t="b">
        <v>0</v>
      </c>
      <c r="H38" t="b">
        <v>0</v>
      </c>
      <c r="I38">
        <v>31</v>
      </c>
    </row>
    <row r="39" spans="1:9" x14ac:dyDescent="0.35">
      <c r="A39" t="s">
        <v>137</v>
      </c>
      <c r="B39" t="s">
        <v>63</v>
      </c>
      <c r="C39" t="s">
        <v>18</v>
      </c>
      <c r="D39" t="s">
        <v>64</v>
      </c>
      <c r="E39" t="s">
        <v>337</v>
      </c>
      <c r="F39" t="s">
        <v>65</v>
      </c>
      <c r="G39" t="b">
        <v>0</v>
      </c>
      <c r="H39" t="b">
        <v>0</v>
      </c>
      <c r="I39">
        <v>32</v>
      </c>
    </row>
    <row r="40" spans="1:9" x14ac:dyDescent="0.35">
      <c r="A40" t="s">
        <v>142</v>
      </c>
      <c r="B40" t="s">
        <v>63</v>
      </c>
      <c r="C40" t="s">
        <v>18</v>
      </c>
      <c r="D40" t="s">
        <v>64</v>
      </c>
      <c r="E40" t="s">
        <v>337</v>
      </c>
      <c r="F40" t="s">
        <v>65</v>
      </c>
      <c r="G40" t="b">
        <v>0</v>
      </c>
      <c r="H40" t="b">
        <v>0</v>
      </c>
      <c r="I40">
        <v>33</v>
      </c>
    </row>
    <row r="41" spans="1:9" x14ac:dyDescent="0.35">
      <c r="A41" t="s">
        <v>148</v>
      </c>
      <c r="B41" t="s">
        <v>63</v>
      </c>
      <c r="C41" t="s">
        <v>18</v>
      </c>
      <c r="D41" t="s">
        <v>64</v>
      </c>
      <c r="E41" t="s">
        <v>337</v>
      </c>
      <c r="F41" t="s">
        <v>65</v>
      </c>
      <c r="G41" t="b">
        <v>0</v>
      </c>
      <c r="H41" t="b">
        <v>0</v>
      </c>
      <c r="I41">
        <v>34</v>
      </c>
    </row>
    <row r="42" spans="1:9" x14ac:dyDescent="0.35">
      <c r="A42" t="s">
        <v>166</v>
      </c>
      <c r="B42" t="s">
        <v>63</v>
      </c>
      <c r="C42" t="s">
        <v>18</v>
      </c>
      <c r="D42" t="s">
        <v>64</v>
      </c>
      <c r="E42" t="s">
        <v>337</v>
      </c>
      <c r="F42" t="s">
        <v>65</v>
      </c>
      <c r="G42" t="b">
        <v>0</v>
      </c>
      <c r="H42" t="b">
        <v>0</v>
      </c>
      <c r="I42">
        <v>35</v>
      </c>
    </row>
    <row r="43" spans="1:9" x14ac:dyDescent="0.35">
      <c r="A43" t="s">
        <v>177</v>
      </c>
      <c r="B43" t="s">
        <v>63</v>
      </c>
      <c r="C43" t="s">
        <v>18</v>
      </c>
      <c r="D43" t="s">
        <v>64</v>
      </c>
      <c r="E43" t="s">
        <v>337</v>
      </c>
      <c r="F43" t="s">
        <v>65</v>
      </c>
      <c r="G43" t="b">
        <v>0</v>
      </c>
      <c r="H43" t="b">
        <v>0</v>
      </c>
      <c r="I43">
        <v>36</v>
      </c>
    </row>
    <row r="44" spans="1:9" x14ac:dyDescent="0.35">
      <c r="A44" t="s">
        <v>206</v>
      </c>
      <c r="B44" t="s">
        <v>63</v>
      </c>
      <c r="C44" t="s">
        <v>18</v>
      </c>
      <c r="D44" t="s">
        <v>64</v>
      </c>
      <c r="E44" t="s">
        <v>337</v>
      </c>
      <c r="F44" t="s">
        <v>65</v>
      </c>
      <c r="G44" t="b">
        <v>0</v>
      </c>
      <c r="H44" t="b">
        <v>0</v>
      </c>
      <c r="I44">
        <v>37</v>
      </c>
    </row>
    <row r="45" spans="1:9" x14ac:dyDescent="0.35">
      <c r="A45" t="s">
        <v>215</v>
      </c>
      <c r="B45" t="s">
        <v>63</v>
      </c>
      <c r="C45" t="s">
        <v>18</v>
      </c>
      <c r="D45" t="s">
        <v>64</v>
      </c>
      <c r="E45" t="s">
        <v>337</v>
      </c>
      <c r="F45" t="s">
        <v>65</v>
      </c>
      <c r="G45" t="b">
        <v>0</v>
      </c>
      <c r="H45" t="b">
        <v>0</v>
      </c>
      <c r="I45">
        <v>38</v>
      </c>
    </row>
    <row r="46" spans="1:9" x14ac:dyDescent="0.35">
      <c r="A46" t="s">
        <v>231</v>
      </c>
      <c r="B46" t="s">
        <v>63</v>
      </c>
      <c r="C46" t="s">
        <v>18</v>
      </c>
      <c r="D46" t="s">
        <v>64</v>
      </c>
      <c r="E46" t="s">
        <v>337</v>
      </c>
      <c r="F46" t="s">
        <v>65</v>
      </c>
      <c r="G46" t="b">
        <v>0</v>
      </c>
      <c r="H46" t="b">
        <v>0</v>
      </c>
      <c r="I46">
        <v>39</v>
      </c>
    </row>
    <row r="47" spans="1:9" x14ac:dyDescent="0.35">
      <c r="A47" t="s">
        <v>232</v>
      </c>
      <c r="B47" t="s">
        <v>63</v>
      </c>
      <c r="C47" t="s">
        <v>18</v>
      </c>
      <c r="D47" t="s">
        <v>64</v>
      </c>
      <c r="E47" t="s">
        <v>337</v>
      </c>
      <c r="F47" t="s">
        <v>65</v>
      </c>
      <c r="G47" t="b">
        <v>0</v>
      </c>
      <c r="H47" t="b">
        <v>0</v>
      </c>
      <c r="I47">
        <v>40</v>
      </c>
    </row>
    <row r="48" spans="1:9" x14ac:dyDescent="0.35">
      <c r="A48" t="s">
        <v>269</v>
      </c>
      <c r="B48" t="s">
        <v>63</v>
      </c>
      <c r="C48" t="s">
        <v>18</v>
      </c>
      <c r="D48" t="s">
        <v>64</v>
      </c>
      <c r="E48" t="s">
        <v>337</v>
      </c>
      <c r="F48" t="s">
        <v>65</v>
      </c>
      <c r="G48" t="b">
        <v>0</v>
      </c>
      <c r="H48" t="b">
        <v>0</v>
      </c>
      <c r="I48">
        <v>41</v>
      </c>
    </row>
    <row r="49" spans="1:9" x14ac:dyDescent="0.35">
      <c r="A49" t="s">
        <v>272</v>
      </c>
      <c r="B49" t="s">
        <v>63</v>
      </c>
      <c r="C49" t="s">
        <v>18</v>
      </c>
      <c r="D49" t="s">
        <v>64</v>
      </c>
      <c r="E49" t="s">
        <v>337</v>
      </c>
      <c r="F49" t="s">
        <v>65</v>
      </c>
      <c r="G49" t="b">
        <v>0</v>
      </c>
      <c r="H49" t="b">
        <v>0</v>
      </c>
      <c r="I49">
        <v>42</v>
      </c>
    </row>
    <row r="50" spans="1:9" x14ac:dyDescent="0.35">
      <c r="A50" t="s">
        <v>294</v>
      </c>
      <c r="B50" t="s">
        <v>63</v>
      </c>
      <c r="C50" t="s">
        <v>18</v>
      </c>
      <c r="D50" t="s">
        <v>64</v>
      </c>
      <c r="E50" t="s">
        <v>337</v>
      </c>
      <c r="F50" t="s">
        <v>65</v>
      </c>
      <c r="G50" t="b">
        <v>0</v>
      </c>
      <c r="H50" t="b">
        <v>0</v>
      </c>
      <c r="I50">
        <v>43</v>
      </c>
    </row>
    <row r="51" spans="1:9" x14ac:dyDescent="0.35">
      <c r="A51" t="s">
        <v>273</v>
      </c>
      <c r="B51" t="s">
        <v>274</v>
      </c>
      <c r="C51" t="s">
        <v>275</v>
      </c>
      <c r="D51" t="s">
        <v>276</v>
      </c>
      <c r="E51" t="s">
        <v>339</v>
      </c>
      <c r="F51" t="s">
        <v>277</v>
      </c>
      <c r="G51" t="b">
        <v>0</v>
      </c>
      <c r="H51" t="b">
        <v>0</v>
      </c>
      <c r="I51">
        <v>1</v>
      </c>
    </row>
    <row r="52" spans="1:9" x14ac:dyDescent="0.35">
      <c r="A52" t="s">
        <v>85</v>
      </c>
      <c r="B52" t="s">
        <v>86</v>
      </c>
      <c r="C52" t="s">
        <v>18</v>
      </c>
      <c r="D52" t="s">
        <v>87</v>
      </c>
      <c r="E52" t="s">
        <v>339</v>
      </c>
      <c r="F52" t="s">
        <v>88</v>
      </c>
      <c r="G52" t="b">
        <v>0</v>
      </c>
      <c r="H52" t="b">
        <v>0</v>
      </c>
      <c r="I52">
        <v>2</v>
      </c>
    </row>
    <row r="53" spans="1:9" x14ac:dyDescent="0.35">
      <c r="A53" t="s">
        <v>228</v>
      </c>
      <c r="B53" t="s">
        <v>86</v>
      </c>
      <c r="C53" t="s">
        <v>18</v>
      </c>
      <c r="D53" t="s">
        <v>87</v>
      </c>
      <c r="E53" t="s">
        <v>339</v>
      </c>
      <c r="F53" t="s">
        <v>88</v>
      </c>
      <c r="G53" t="b">
        <v>0</v>
      </c>
      <c r="H53" t="b">
        <v>0</v>
      </c>
      <c r="I53">
        <v>3</v>
      </c>
    </row>
    <row r="54" spans="1:9" x14ac:dyDescent="0.35">
      <c r="A54" t="s">
        <v>172</v>
      </c>
      <c r="B54" t="s">
        <v>173</v>
      </c>
      <c r="C54" t="s">
        <v>174</v>
      </c>
      <c r="D54" t="s">
        <v>175</v>
      </c>
      <c r="E54" t="s">
        <v>339</v>
      </c>
      <c r="F54" t="s">
        <v>176</v>
      </c>
      <c r="G54" t="b">
        <v>0</v>
      </c>
      <c r="H54" t="b">
        <v>0</v>
      </c>
      <c r="I54">
        <v>4</v>
      </c>
    </row>
    <row r="55" spans="1:9" x14ac:dyDescent="0.35">
      <c r="A55" t="s">
        <v>250</v>
      </c>
      <c r="B55" t="s">
        <v>251</v>
      </c>
      <c r="C55" t="s">
        <v>9</v>
      </c>
      <c r="D55" t="s">
        <v>14</v>
      </c>
      <c r="E55" t="s">
        <v>339</v>
      </c>
      <c r="F55" t="s">
        <v>252</v>
      </c>
      <c r="G55" t="b">
        <v>0</v>
      </c>
      <c r="H55" t="b">
        <v>0</v>
      </c>
      <c r="I55">
        <v>5</v>
      </c>
    </row>
    <row r="56" spans="1:9" x14ac:dyDescent="0.35">
      <c r="A56" t="s">
        <v>290</v>
      </c>
      <c r="B56" t="s">
        <v>291</v>
      </c>
      <c r="C56" t="s">
        <v>292</v>
      </c>
      <c r="D56" t="s">
        <v>14</v>
      </c>
      <c r="E56" t="s">
        <v>339</v>
      </c>
      <c r="F56" t="s">
        <v>293</v>
      </c>
      <c r="G56" t="b">
        <v>0</v>
      </c>
      <c r="H56" t="b">
        <v>0</v>
      </c>
      <c r="I56">
        <v>6</v>
      </c>
    </row>
    <row r="57" spans="1:9" x14ac:dyDescent="0.35">
      <c r="A57" t="s">
        <v>306</v>
      </c>
      <c r="B57" t="s">
        <v>307</v>
      </c>
      <c r="C57" t="s">
        <v>57</v>
      </c>
      <c r="D57" t="s">
        <v>14</v>
      </c>
      <c r="E57" t="s">
        <v>339</v>
      </c>
      <c r="F57" t="s">
        <v>308</v>
      </c>
      <c r="G57" t="b">
        <v>0</v>
      </c>
      <c r="H57" t="b">
        <v>0</v>
      </c>
      <c r="I57">
        <v>7</v>
      </c>
    </row>
    <row r="58" spans="1:9" x14ac:dyDescent="0.35">
      <c r="A58" t="s">
        <v>330</v>
      </c>
      <c r="B58" t="s">
        <v>331</v>
      </c>
      <c r="C58" t="s">
        <v>280</v>
      </c>
      <c r="D58" t="s">
        <v>14</v>
      </c>
      <c r="E58" t="s">
        <v>339</v>
      </c>
      <c r="F58" t="s">
        <v>332</v>
      </c>
      <c r="G58" t="b">
        <v>0</v>
      </c>
      <c r="H58" t="b">
        <v>0</v>
      </c>
      <c r="I58">
        <v>8</v>
      </c>
    </row>
    <row r="59" spans="1:9" x14ac:dyDescent="0.35">
      <c r="A59" t="s">
        <v>168</v>
      </c>
      <c r="B59" t="s">
        <v>169</v>
      </c>
      <c r="C59" t="s">
        <v>170</v>
      </c>
      <c r="D59" t="s">
        <v>14</v>
      </c>
      <c r="E59" t="s">
        <v>339</v>
      </c>
      <c r="F59" t="s">
        <v>171</v>
      </c>
      <c r="G59" t="b">
        <v>0</v>
      </c>
      <c r="H59" t="b">
        <v>0</v>
      </c>
      <c r="I59">
        <v>9</v>
      </c>
    </row>
    <row r="60" spans="1:9" x14ac:dyDescent="0.35">
      <c r="A60" t="s">
        <v>11</v>
      </c>
      <c r="B60" t="s">
        <v>12</v>
      </c>
      <c r="C60" t="s">
        <v>13</v>
      </c>
      <c r="D60" t="s">
        <v>14</v>
      </c>
      <c r="E60" t="s">
        <v>339</v>
      </c>
      <c r="F60" t="s">
        <v>15</v>
      </c>
      <c r="G60" t="b">
        <v>0</v>
      </c>
      <c r="H60" t="b">
        <v>0</v>
      </c>
      <c r="I60">
        <v>10</v>
      </c>
    </row>
    <row r="61" spans="1:9" x14ac:dyDescent="0.35">
      <c r="A61" t="s">
        <v>79</v>
      </c>
      <c r="B61" t="s">
        <v>80</v>
      </c>
      <c r="C61" t="s">
        <v>18</v>
      </c>
      <c r="D61" t="s">
        <v>14</v>
      </c>
      <c r="E61" t="s">
        <v>339</v>
      </c>
      <c r="F61" t="s">
        <v>81</v>
      </c>
      <c r="G61" t="b">
        <v>0</v>
      </c>
      <c r="H61" t="b">
        <v>0</v>
      </c>
      <c r="I61">
        <v>11</v>
      </c>
    </row>
    <row r="62" spans="1:9" x14ac:dyDescent="0.35">
      <c r="A62" t="s">
        <v>225</v>
      </c>
      <c r="B62" t="s">
        <v>80</v>
      </c>
      <c r="C62" t="s">
        <v>18</v>
      </c>
      <c r="D62" t="s">
        <v>14</v>
      </c>
      <c r="E62" t="s">
        <v>339</v>
      </c>
      <c r="F62" t="s">
        <v>81</v>
      </c>
      <c r="G62" t="b">
        <v>0</v>
      </c>
      <c r="H62" t="b">
        <v>0</v>
      </c>
      <c r="I62">
        <v>12</v>
      </c>
    </row>
    <row r="63" spans="1:9" x14ac:dyDescent="0.35">
      <c r="A63" t="s">
        <v>216</v>
      </c>
      <c r="B63" t="s">
        <v>217</v>
      </c>
      <c r="C63" t="s">
        <v>9</v>
      </c>
      <c r="D63" t="s">
        <v>14</v>
      </c>
      <c r="E63" t="s">
        <v>339</v>
      </c>
      <c r="F63" t="s">
        <v>218</v>
      </c>
      <c r="G63" t="b">
        <v>0</v>
      </c>
      <c r="H63" t="b">
        <v>0</v>
      </c>
      <c r="I63">
        <v>13</v>
      </c>
    </row>
    <row r="64" spans="1:9" x14ac:dyDescent="0.35">
      <c r="A64" t="s">
        <v>282</v>
      </c>
      <c r="B64" t="s">
        <v>283</v>
      </c>
      <c r="C64" t="s">
        <v>209</v>
      </c>
      <c r="D64" t="s">
        <v>14</v>
      </c>
      <c r="E64" t="s">
        <v>339</v>
      </c>
      <c r="F64" t="s">
        <v>284</v>
      </c>
      <c r="G64" t="b">
        <v>0</v>
      </c>
      <c r="H64" t="b">
        <v>0</v>
      </c>
      <c r="I64">
        <v>14</v>
      </c>
    </row>
    <row r="65" spans="1:9" x14ac:dyDescent="0.35">
      <c r="A65" t="s">
        <v>314</v>
      </c>
      <c r="B65" t="s">
        <v>315</v>
      </c>
      <c r="C65" t="s">
        <v>316</v>
      </c>
      <c r="D65" t="s">
        <v>14</v>
      </c>
      <c r="E65" t="s">
        <v>339</v>
      </c>
      <c r="F65" t="s">
        <v>317</v>
      </c>
      <c r="G65" t="b">
        <v>0</v>
      </c>
      <c r="H65" t="b">
        <v>0</v>
      </c>
      <c r="I65">
        <v>15</v>
      </c>
    </row>
    <row r="66" spans="1:9" x14ac:dyDescent="0.35">
      <c r="A66" t="s">
        <v>143</v>
      </c>
      <c r="B66" t="s">
        <v>144</v>
      </c>
      <c r="C66" t="s">
        <v>9</v>
      </c>
      <c r="D66" t="s">
        <v>14</v>
      </c>
      <c r="E66" t="s">
        <v>339</v>
      </c>
      <c r="F66" t="s">
        <v>145</v>
      </c>
      <c r="G66" t="b">
        <v>0</v>
      </c>
      <c r="H66" t="b">
        <v>0</v>
      </c>
      <c r="I66">
        <v>16</v>
      </c>
    </row>
    <row r="67" spans="1:9" x14ac:dyDescent="0.35">
      <c r="A67" t="s">
        <v>212</v>
      </c>
      <c r="B67" t="s">
        <v>144</v>
      </c>
      <c r="C67" t="s">
        <v>9</v>
      </c>
      <c r="D67" t="s">
        <v>14</v>
      </c>
      <c r="E67" t="s">
        <v>339</v>
      </c>
      <c r="F67" t="s">
        <v>145</v>
      </c>
      <c r="G67" t="b">
        <v>0</v>
      </c>
      <c r="H67" t="b">
        <v>0</v>
      </c>
      <c r="I67">
        <v>17</v>
      </c>
    </row>
    <row r="68" spans="1:9" x14ac:dyDescent="0.35">
      <c r="A68" t="s">
        <v>82</v>
      </c>
      <c r="B68" t="s">
        <v>83</v>
      </c>
      <c r="C68" t="s">
        <v>18</v>
      </c>
      <c r="D68" t="s">
        <v>14</v>
      </c>
      <c r="E68" t="s">
        <v>339</v>
      </c>
      <c r="F68" t="s">
        <v>84</v>
      </c>
      <c r="G68" t="b">
        <v>0</v>
      </c>
      <c r="H68" t="b">
        <v>0</v>
      </c>
      <c r="I68">
        <v>18</v>
      </c>
    </row>
    <row r="69" spans="1:9" x14ac:dyDescent="0.35">
      <c r="A69" t="s">
        <v>227</v>
      </c>
      <c r="B69" t="s">
        <v>83</v>
      </c>
      <c r="C69" t="s">
        <v>18</v>
      </c>
      <c r="D69" t="s">
        <v>14</v>
      </c>
      <c r="E69" t="s">
        <v>339</v>
      </c>
      <c r="F69" t="s">
        <v>84</v>
      </c>
      <c r="G69" t="b">
        <v>0</v>
      </c>
      <c r="H69" t="b">
        <v>0</v>
      </c>
      <c r="I69">
        <v>19</v>
      </c>
    </row>
    <row r="70" spans="1:9" x14ac:dyDescent="0.35">
      <c r="A70" t="s">
        <v>219</v>
      </c>
      <c r="B70" t="s">
        <v>220</v>
      </c>
      <c r="C70" t="s">
        <v>9</v>
      </c>
      <c r="D70" t="s">
        <v>14</v>
      </c>
      <c r="E70" t="s">
        <v>339</v>
      </c>
      <c r="F70" t="s">
        <v>221</v>
      </c>
      <c r="G70" t="b">
        <v>0</v>
      </c>
      <c r="H70" t="b">
        <v>0</v>
      </c>
      <c r="I70">
        <v>20</v>
      </c>
    </row>
    <row r="71" spans="1:9" x14ac:dyDescent="0.35">
      <c r="A71" t="s">
        <v>150</v>
      </c>
      <c r="B71" t="s">
        <v>151</v>
      </c>
      <c r="C71" t="s">
        <v>18</v>
      </c>
      <c r="D71" t="s">
        <v>14</v>
      </c>
      <c r="E71" t="s">
        <v>339</v>
      </c>
      <c r="F71" t="s">
        <v>152</v>
      </c>
      <c r="G71" t="b">
        <v>0</v>
      </c>
      <c r="H71" t="b">
        <v>0</v>
      </c>
      <c r="I71">
        <v>21</v>
      </c>
    </row>
    <row r="72" spans="1:9" x14ac:dyDescent="0.35">
      <c r="A72" t="s">
        <v>278</v>
      </c>
      <c r="B72" t="s">
        <v>279</v>
      </c>
      <c r="C72" t="s">
        <v>280</v>
      </c>
      <c r="D72" t="s">
        <v>14</v>
      </c>
      <c r="E72" t="s">
        <v>339</v>
      </c>
      <c r="F72" t="s">
        <v>281</v>
      </c>
      <c r="G72" t="b">
        <v>0</v>
      </c>
      <c r="H72" t="b">
        <v>0</v>
      </c>
      <c r="I72">
        <v>22</v>
      </c>
    </row>
    <row r="73" spans="1:9" x14ac:dyDescent="0.35">
      <c r="A73" t="s">
        <v>133</v>
      </c>
      <c r="B73" t="s">
        <v>134</v>
      </c>
      <c r="C73" t="s">
        <v>57</v>
      </c>
      <c r="D73" t="s">
        <v>14</v>
      </c>
      <c r="E73" t="s">
        <v>339</v>
      </c>
      <c r="F73" t="s">
        <v>135</v>
      </c>
      <c r="G73" t="b">
        <v>0</v>
      </c>
      <c r="H73" t="b">
        <v>0</v>
      </c>
      <c r="I73">
        <v>23</v>
      </c>
    </row>
    <row r="74" spans="1:9" x14ac:dyDescent="0.35">
      <c r="A74" t="s">
        <v>213</v>
      </c>
      <c r="B74" t="s">
        <v>134</v>
      </c>
      <c r="C74" t="s">
        <v>57</v>
      </c>
      <c r="D74" t="s">
        <v>14</v>
      </c>
      <c r="E74" t="s">
        <v>339</v>
      </c>
      <c r="F74" t="s">
        <v>135</v>
      </c>
      <c r="G74" t="b">
        <v>0</v>
      </c>
      <c r="H74" t="b">
        <v>0</v>
      </c>
      <c r="I74">
        <v>24</v>
      </c>
    </row>
    <row r="76" spans="1:9" x14ac:dyDescent="0.35">
      <c r="I76">
        <f>64+28+43+6</f>
        <v>141</v>
      </c>
    </row>
    <row r="77" spans="1:9" x14ac:dyDescent="0.35">
      <c r="D77" s="5">
        <f>64/141</f>
        <v>0.45390070921985815</v>
      </c>
      <c r="F77">
        <f>141-28</f>
        <v>113</v>
      </c>
      <c r="G77" s="5">
        <f>F77/I$76</f>
        <v>0.8014184397163121</v>
      </c>
    </row>
    <row r="78" spans="1:9" x14ac:dyDescent="0.35">
      <c r="D78" s="5">
        <f>68/141</f>
        <v>0.48226950354609927</v>
      </c>
      <c r="F78">
        <f>F77+4</f>
        <v>117</v>
      </c>
      <c r="G78" s="5">
        <f>F78/I$76</f>
        <v>0.82978723404255317</v>
      </c>
    </row>
    <row r="79" spans="1:9" x14ac:dyDescent="0.35">
      <c r="G79" s="5"/>
    </row>
    <row r="80" spans="1:9" x14ac:dyDescent="0.35">
      <c r="F80">
        <f>F77-6</f>
        <v>107</v>
      </c>
      <c r="G80" s="5">
        <f>F80/I$76</f>
        <v>0.75886524822695034</v>
      </c>
    </row>
    <row r="81" spans="6:7" x14ac:dyDescent="0.35">
      <c r="F81">
        <f>F78-6</f>
        <v>111</v>
      </c>
      <c r="G81" s="5">
        <f>F81/I$76</f>
        <v>0.78723404255319152</v>
      </c>
    </row>
  </sheetData>
  <sortState xmlns:xlrd2="http://schemas.microsoft.com/office/spreadsheetml/2017/richdata2" ref="A2:H74">
    <sortCondition ref="E2:E74"/>
    <sortCondition ref="D2:D74"/>
    <sortCondition ref="B2:B74"/>
  </sortState>
  <hyperlinks>
    <hyperlink ref="D3" r:id="rId1" xr:uid="{6BE60DCE-8754-4DE1-B7C6-16ED74BA43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bfc0e4-f579-45d6-b863-e5641c5cff93">
      <Terms xmlns="http://schemas.microsoft.com/office/infopath/2007/PartnerControls"/>
    </lcf76f155ced4ddcb4097134ff3c332f>
    <TaxCatchAll xmlns="a853243e-0133-4e0b-b4d0-d70525fe48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66F640F4AD24EA5E1D8481FAFCF39" ma:contentTypeVersion="14" ma:contentTypeDescription="Create a new document." ma:contentTypeScope="" ma:versionID="77c7a2b71a1f133dc1775c0df5a5d842">
  <xsd:schema xmlns:xsd="http://www.w3.org/2001/XMLSchema" xmlns:xs="http://www.w3.org/2001/XMLSchema" xmlns:p="http://schemas.microsoft.com/office/2006/metadata/properties" xmlns:ns2="5bbfc0e4-f579-45d6-b863-e5641c5cff93" xmlns:ns3="a853243e-0133-4e0b-b4d0-d70525fe48c9" targetNamespace="http://schemas.microsoft.com/office/2006/metadata/properties" ma:root="true" ma:fieldsID="770713c22ab95bd003795524377c2b41" ns2:_="" ns3:_="">
    <xsd:import namespace="5bbfc0e4-f579-45d6-b863-e5641c5cff93"/>
    <xsd:import namespace="a853243e-0133-4e0b-b4d0-d70525fe4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fc0e4-f579-45d6-b863-e5641c5cf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58b0421-3d9b-4d43-8840-b275eef40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3243e-0133-4e0b-b4d0-d70525fe4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19358a8-8265-43ef-bcea-ea487950f760}" ma:internalName="TaxCatchAll" ma:showField="CatchAllData" ma:web="a853243e-0133-4e0b-b4d0-d70525fe4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DCF0F-8982-4A2D-91CE-F1FE2A6363C5}">
  <ds:schemaRefs>
    <ds:schemaRef ds:uri="http://schemas.microsoft.com/office/2006/metadata/properties"/>
    <ds:schemaRef ds:uri="http://schemas.microsoft.com/office/infopath/2007/PartnerControls"/>
    <ds:schemaRef ds:uri="5bbfc0e4-f579-45d6-b863-e5641c5cff93"/>
    <ds:schemaRef ds:uri="a853243e-0133-4e0b-b4d0-d70525fe48c9"/>
  </ds:schemaRefs>
</ds:datastoreItem>
</file>

<file path=customXml/itemProps2.xml><?xml version="1.0" encoding="utf-8"?>
<ds:datastoreItem xmlns:ds="http://schemas.openxmlformats.org/officeDocument/2006/customXml" ds:itemID="{B51EEDF1-76ED-4E0A-A115-E80649045E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458723-D744-4678-973E-F9186BBB13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bfc0e4-f579-45d6-b863-e5641c5cff93"/>
    <ds:schemaRef ds:uri="a853243e-0133-4e0b-b4d0-d70525fe48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 (Student)</cp:lastModifiedBy>
  <dcterms:created xsi:type="dcterms:W3CDTF">2025-07-04T08:30:28Z</dcterms:created>
  <dcterms:modified xsi:type="dcterms:W3CDTF">2025-10-18T11:15:30Z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0x01010037666F640F4AD24EA5E1D8481FAFCF39</vt:lpwstr>
  </property>
</Properties>
</file>